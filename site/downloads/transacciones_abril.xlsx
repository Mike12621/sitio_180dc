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ciones" sheetId="1" r:id="rId4"/>
    <sheet state="visible" name="Ingresos y Egresos" sheetId="2" r:id="rId5"/>
    <sheet state="visible" name="Caja y Bancos" sheetId="3" r:id="rId6"/>
  </sheets>
  <definedNames/>
  <calcPr/>
  <extLst>
    <ext uri="GoogleSheetsCustomDataVersion2">
      <go:sheetsCustomData xmlns:go="http://customooxmlschemas.google.com/" r:id="rId7" roundtripDataChecksum="iKcNmGis/+nSdQnfxhNvsFh6XJxJThpDGE/QCWBZoLg="/>
    </ext>
  </extLst>
</workbook>
</file>

<file path=xl/sharedStrings.xml><?xml version="1.0" encoding="utf-8"?>
<sst xmlns="http://schemas.openxmlformats.org/spreadsheetml/2006/main" count="123" uniqueCount="71">
  <si>
    <t xml:space="preserve">REGISTRO DE TRANSACCIONES (ABRIL 2026-1) </t>
  </si>
  <si>
    <t>Responsable(s) de la actualización</t>
  </si>
  <si>
    <t>Última actualización</t>
  </si>
  <si>
    <t>Lesly Guzmán</t>
  </si>
  <si>
    <t>30/04/2026</t>
  </si>
  <si>
    <t>ACTIVIDAD O EVENTO</t>
  </si>
  <si>
    <t>LIBRO SIMPLIFICADO - version 180 DC PUCP</t>
  </si>
  <si>
    <t>OBSERVACIONES</t>
  </si>
  <si>
    <t>Ord.</t>
  </si>
  <si>
    <t>Fecha de registro</t>
  </si>
  <si>
    <t>Nombre de la Actividad</t>
  </si>
  <si>
    <t>Glosa</t>
  </si>
  <si>
    <t>Monto (S/.)</t>
  </si>
  <si>
    <t>Descripcion</t>
  </si>
  <si>
    <t>Fecha del Comprobante</t>
  </si>
  <si>
    <t>Tipo de Comprobante</t>
  </si>
  <si>
    <t>Codigo de Comprobante (Nº, Serie, etc.)</t>
  </si>
  <si>
    <t>Nombre / Razón Social</t>
  </si>
  <si>
    <t>RUC / DNI</t>
  </si>
  <si>
    <t>SALDO ANTERIOR MARZO</t>
  </si>
  <si>
    <t>Membresía</t>
  </si>
  <si>
    <t>Ingreso por pago de fee</t>
  </si>
  <si>
    <t>14/04/2026</t>
  </si>
  <si>
    <t xml:space="preserve">ITF </t>
  </si>
  <si>
    <t>Traslado Interbank a BCP</t>
  </si>
  <si>
    <t>16/04/2026</t>
  </si>
  <si>
    <t>Capacitación</t>
  </si>
  <si>
    <t xml:space="preserve">BCG capacitacion en la UP </t>
  </si>
  <si>
    <t>19/04/2026</t>
  </si>
  <si>
    <t>Ingreso por pago de 2 fee</t>
  </si>
  <si>
    <t>22/04/2026</t>
  </si>
  <si>
    <t>25/04/2026</t>
  </si>
  <si>
    <t>Integración</t>
  </si>
  <si>
    <t xml:space="preserve">Reserva local pizza (1ra Integración) </t>
  </si>
  <si>
    <t>Yape Mario Mer</t>
  </si>
  <si>
    <t>27/04/2026</t>
  </si>
  <si>
    <t>Resumen</t>
  </si>
  <si>
    <t>Monto</t>
  </si>
  <si>
    <t>Notas</t>
  </si>
  <si>
    <t>SALDO INICIAL (en efectivo)</t>
  </si>
  <si>
    <t>Total Ingresos</t>
  </si>
  <si>
    <t>Total Inversiones</t>
  </si>
  <si>
    <t>Total Egresos</t>
  </si>
  <si>
    <t>SALDO FINAL (en efectivo)</t>
  </si>
  <si>
    <t>Egresos</t>
  </si>
  <si>
    <t>Mes</t>
  </si>
  <si>
    <t>Rubro</t>
  </si>
  <si>
    <t>Destino</t>
  </si>
  <si>
    <t>Observaciones</t>
  </si>
  <si>
    <t>Total EGRESOS</t>
  </si>
  <si>
    <t>Inversiones</t>
  </si>
  <si>
    <t>Egresos por IME</t>
  </si>
  <si>
    <t>Total INVERSIONES</t>
  </si>
  <si>
    <t>Ingresos</t>
  </si>
  <si>
    <t>General</t>
  </si>
  <si>
    <t>Total INGRESOS</t>
  </si>
  <si>
    <t>Otros (no devengados)</t>
  </si>
  <si>
    <t>Cuentas por cobrar</t>
  </si>
  <si>
    <t>Cuentas por pagar</t>
  </si>
  <si>
    <t>Diferencia</t>
  </si>
  <si>
    <t xml:space="preserve">LIBRO CAJA Y BANCOS </t>
  </si>
  <si>
    <t>Numero correlativo de registro</t>
  </si>
  <si>
    <t xml:space="preserve">Fecha </t>
  </si>
  <si>
    <t>Metodo de pago</t>
  </si>
  <si>
    <t>Descripcion de la operacion</t>
  </si>
  <si>
    <t>Nº de Transaccion Bancaria</t>
  </si>
  <si>
    <t>INGRESO</t>
  </si>
  <si>
    <t>SALIDA</t>
  </si>
  <si>
    <t>Plin</t>
  </si>
  <si>
    <t>Saldo anterior</t>
  </si>
  <si>
    <t>Saldo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</si>
</sst>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[$S/.]#,##0.00"/>
    <numFmt numFmtId="166" formatCode="mm/dd/yyyy"/>
    <numFmt numFmtId="167" formatCode="m/d/yyyy"/>
    <numFmt numFmtId="168" formatCode="d/M/yyyy"/>
    <numFmt numFmtId="169" formatCode="dd&quot;/&quot;mm&quot;/&quot;yy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Arial"/>
      <scheme val="minor"/>
    </font>
    <font>
      <color rgb="FFFF0000"/>
      <name val="Arial"/>
    </font>
    <font>
      <b/>
      <sz val="11.0"/>
      <color rgb="FFFFFFFF"/>
      <name val="Calibri"/>
    </font>
    <font>
      <b/>
      <color theme="1"/>
      <name val="Calibri"/>
    </font>
    <font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6DDE8"/>
        <bgColor rgb="FFB6DDE8"/>
      </patternFill>
    </fill>
    <fill>
      <patternFill patternType="solid">
        <fgColor rgb="FF92E8EF"/>
        <bgColor rgb="FF92E8E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333399"/>
      </left>
      <top style="thin">
        <color rgb="FF333399"/>
      </top>
      <bottom style="thin">
        <color rgb="FF333399"/>
      </bottom>
    </border>
    <border>
      <top style="thin">
        <color rgb="FF333399"/>
      </top>
      <bottom style="thin">
        <color rgb="FF333399"/>
      </bottom>
    </border>
    <border>
      <right style="thin">
        <color rgb="FF333399"/>
      </right>
      <top style="thin">
        <color rgb="FF333399"/>
      </top>
      <bottom style="thin">
        <color rgb="FF333399"/>
      </bottom>
    </border>
    <border>
      <left style="thin">
        <color rgb="FF333399"/>
      </left>
      <bottom style="double">
        <color rgb="FF333399"/>
      </bottom>
    </border>
    <border>
      <bottom style="double">
        <color rgb="FF333399"/>
      </bottom>
    </border>
    <border>
      <right style="thin">
        <color rgb="FF333399"/>
      </right>
      <top style="thin">
        <color rgb="FF333399"/>
      </top>
      <bottom style="double">
        <color rgb="FF333399"/>
      </bottom>
    </border>
    <border>
      <left style="thin">
        <color rgb="FF333399"/>
      </left>
      <bottom style="thin">
        <color rgb="FF333399"/>
      </bottom>
    </border>
    <border>
      <bottom style="thin">
        <color rgb="FF333399"/>
      </bottom>
    </border>
    <border>
      <right style="thin">
        <color rgb="FF333399"/>
      </right>
      <bottom style="thin">
        <color rgb="FF333399"/>
      </bottom>
    </border>
    <border>
      <left style="thin">
        <color rgb="FF333399"/>
      </left>
    </border>
    <border>
      <right style="thin">
        <color rgb="FF333399"/>
      </right>
      <top style="thin">
        <color rgb="FF333399"/>
      </top>
    </border>
    <border>
      <left style="thin">
        <color rgb="FF333399"/>
      </left>
      <top style="double">
        <color rgb="FF333399"/>
      </top>
      <bottom style="thin">
        <color rgb="FF333399"/>
      </bottom>
    </border>
    <border>
      <top style="double">
        <color rgb="FF333399"/>
      </top>
      <bottom style="thin">
        <color rgb="FF333399"/>
      </bottom>
    </border>
    <border>
      <right style="thin">
        <color rgb="FF333399"/>
      </right>
      <top style="double">
        <color rgb="FF333399"/>
      </top>
      <bottom style="thin">
        <color rgb="FF333399"/>
      </bottom>
    </border>
    <border>
      <left style="thin">
        <color rgb="FF333399"/>
      </left>
      <top style="thin">
        <color rgb="FF333399"/>
      </top>
    </border>
    <border>
      <top style="thin">
        <color rgb="FF333399"/>
      </top>
    </border>
    <border>
      <left style="thin">
        <color rgb="FF000000"/>
      </left>
      <right style="thin">
        <color rgb="FF000000"/>
      </right>
      <top style="thin">
        <color rgb="FF333399"/>
      </top>
    </border>
    <border>
      <left style="thin">
        <color rgb="FF000000"/>
      </left>
      <right style="thin">
        <color rgb="FF000000"/>
      </right>
      <top style="double">
        <color rgb="FF333399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4" fontId="3" numFmtId="0" xfId="0" applyAlignment="1" applyBorder="1" applyFill="1" applyFont="1">
      <alignment horizontal="center" vertical="bottom"/>
    </xf>
    <xf borderId="6" fillId="0" fontId="4" numFmtId="0" xfId="0" applyBorder="1" applyFont="1"/>
    <xf borderId="7" fillId="5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bottom"/>
    </xf>
    <xf borderId="8" fillId="3" fontId="3" numFmtId="0" xfId="0" applyAlignment="1" applyBorder="1" applyFont="1">
      <alignment horizontal="center" vertical="bottom"/>
    </xf>
    <xf borderId="9" fillId="3" fontId="3" numFmtId="0" xfId="0" applyAlignment="1" applyBorder="1" applyFont="1">
      <alignment horizontal="center" shrinkToFit="0" vertical="bottom" wrapText="1"/>
    </xf>
    <xf borderId="10" fillId="3" fontId="3" numFmtId="0" xfId="0" applyAlignment="1" applyBorder="1" applyFont="1">
      <alignment horizontal="center" shrinkToFit="0" vertical="bottom" wrapText="1"/>
    </xf>
    <xf borderId="9" fillId="4" fontId="3" numFmtId="0" xfId="0" applyAlignment="1" applyBorder="1" applyFont="1">
      <alignment horizontal="center" vertical="bottom"/>
    </xf>
    <xf borderId="9" fillId="4" fontId="3" numFmtId="0" xfId="0" applyAlignment="1" applyBorder="1" applyFont="1">
      <alignment horizontal="center" shrinkToFit="0" vertical="bottom" wrapText="1"/>
    </xf>
    <xf borderId="9" fillId="4" fontId="3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vertical="bottom"/>
    </xf>
    <xf borderId="11" fillId="0" fontId="4" numFmtId="0" xfId="0" applyBorder="1" applyFont="1"/>
    <xf borderId="0" fillId="0" fontId="5" numFmtId="0" xfId="0" applyAlignment="1" applyFont="1">
      <alignment horizontal="center" vertical="bottom"/>
    </xf>
    <xf borderId="12" fillId="6" fontId="5" numFmtId="0" xfId="0" applyAlignment="1" applyBorder="1" applyFill="1" applyFont="1">
      <alignment horizontal="right" vertical="bottom"/>
    </xf>
    <xf borderId="13" fillId="6" fontId="1" numFmtId="164" xfId="0" applyAlignment="1" applyBorder="1" applyFont="1" applyNumberFormat="1">
      <alignment vertical="bottom"/>
    </xf>
    <xf borderId="13" fillId="6" fontId="1" numFmtId="0" xfId="0" applyAlignment="1" applyBorder="1" applyFont="1">
      <alignment vertical="bottom"/>
    </xf>
    <xf borderId="0" fillId="7" fontId="1" numFmtId="165" xfId="0" applyAlignment="1" applyFill="1" applyFont="1" applyNumberFormat="1">
      <alignment horizontal="right" readingOrder="0" vertical="center"/>
    </xf>
    <xf borderId="13" fillId="6" fontId="3" numFmtId="0" xfId="0" applyAlignment="1" applyBorder="1" applyFont="1">
      <alignment horizontal="center" readingOrder="0" vertical="bottom"/>
    </xf>
    <xf borderId="0" fillId="8" fontId="1" numFmtId="0" xfId="0" applyAlignment="1" applyFill="1" applyFont="1">
      <alignment vertical="bottom"/>
    </xf>
    <xf borderId="0" fillId="0" fontId="1" numFmtId="0" xfId="0" applyAlignment="1" applyFont="1">
      <alignment horizontal="right" vertical="center"/>
    </xf>
    <xf borderId="0" fillId="0" fontId="6" numFmtId="166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horizontal="right" vertical="center"/>
    </xf>
    <xf borderId="0" fillId="0" fontId="1" numFmtId="0" xfId="0" applyAlignment="1" applyFont="1">
      <alignment horizontal="left" shrinkToFit="0" vertical="center" wrapText="1"/>
    </xf>
    <xf borderId="0" fillId="0" fontId="1" numFmtId="167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bottom"/>
    </xf>
    <xf borderId="0" fillId="9" fontId="1" numFmtId="0" xfId="0" applyAlignment="1" applyFill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168" xfId="0" applyAlignment="1" applyFont="1" applyNumberFormat="1">
      <alignment vertical="center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7" numFmtId="165" xfId="0" applyAlignment="1" applyFont="1" applyNumberFormat="1">
      <alignment horizontal="righ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7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169" xfId="0" applyFont="1" applyNumberFormat="1"/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9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10" fontId="1" numFmtId="0" xfId="0" applyAlignment="1" applyFill="1" applyFont="1">
      <alignment vertical="bottom"/>
    </xf>
    <xf borderId="0" fillId="0" fontId="1" numFmtId="169" xfId="0" applyFont="1" applyNumberFormat="1"/>
    <xf borderId="14" fillId="11" fontId="8" numFmtId="0" xfId="0" applyAlignment="1" applyBorder="1" applyFill="1" applyFont="1">
      <alignment horizontal="center" vertical="bottom"/>
    </xf>
    <xf borderId="15" fillId="0" fontId="4" numFmtId="0" xfId="0" applyBorder="1" applyFont="1"/>
    <xf borderId="15" fillId="11" fontId="8" numFmtId="0" xfId="0" applyAlignment="1" applyBorder="1" applyFont="1">
      <alignment horizontal="center" vertical="bottom"/>
    </xf>
    <xf borderId="15" fillId="11" fontId="1" numFmtId="0" xfId="0" applyAlignment="1" applyBorder="1" applyFont="1">
      <alignment vertical="bottom"/>
    </xf>
    <xf borderId="16" fillId="11" fontId="8" numFmtId="0" xfId="0" applyAlignment="1" applyBorder="1" applyFont="1">
      <alignment horizontal="center" vertical="bottom"/>
    </xf>
    <xf borderId="17" fillId="0" fontId="3" numFmtId="0" xfId="0" applyAlignment="1" applyBorder="1" applyFont="1">
      <alignment vertical="bottom"/>
    </xf>
    <xf borderId="18" fillId="0" fontId="4" numFmtId="0" xfId="0" applyBorder="1" applyFont="1"/>
    <xf borderId="18" fillId="0" fontId="9" numFmtId="165" xfId="0" applyAlignment="1" applyBorder="1" applyFont="1" applyNumberFormat="1">
      <alignment horizontal="right"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21" fillId="0" fontId="4" numFmtId="0" xfId="0" applyBorder="1" applyFont="1"/>
    <xf borderId="21" fillId="0" fontId="10" numFmtId="165" xfId="0" applyAlignment="1" applyBorder="1" applyFont="1" applyNumberFormat="1">
      <alignment horizontal="right"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1" fillId="0" fontId="10" numFmtId="4" xfId="0" applyAlignment="1" applyBorder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23" fillId="0" fontId="5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26" fillId="0" fontId="4" numFmtId="0" xfId="0" applyBorder="1" applyFont="1"/>
    <xf borderId="26" fillId="0" fontId="9" numFmtId="4" xfId="0" applyAlignment="1" applyBorder="1" applyFont="1" applyNumberFormat="1">
      <alignment horizontal="right" vertical="bottom"/>
    </xf>
    <xf borderId="26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8" fillId="11" fontId="8" numFmtId="0" xfId="0" applyAlignment="1" applyBorder="1" applyFont="1">
      <alignment horizontal="center" vertical="bottom"/>
    </xf>
    <xf borderId="29" fillId="11" fontId="8" numFmtId="0" xfId="0" applyAlignment="1" applyBorder="1" applyFont="1">
      <alignment horizontal="center" vertical="bottom"/>
    </xf>
    <xf borderId="28" fillId="0" fontId="9" numFmtId="0" xfId="0" applyBorder="1" applyFont="1"/>
    <xf borderId="7" fillId="0" fontId="9" numFmtId="165" xfId="0" applyBorder="1" applyFont="1" applyNumberFormat="1"/>
    <xf borderId="29" fillId="0" fontId="1" numFmtId="0" xfId="0" applyAlignment="1" applyBorder="1" applyFont="1">
      <alignment vertical="bottom"/>
    </xf>
    <xf borderId="30" fillId="0" fontId="9" numFmtId="165" xfId="0" applyBorder="1" applyFont="1" applyNumberFormat="1"/>
    <xf borderId="28" fillId="0" fontId="10" numFmtId="0" xfId="0" applyAlignment="1" applyBorder="1" applyFont="1">
      <alignment shrinkToFit="0" vertical="bottom" wrapText="1"/>
    </xf>
    <xf borderId="30" fillId="0" fontId="10" numFmtId="2" xfId="0" applyAlignment="1" applyBorder="1" applyFont="1" applyNumberFormat="1">
      <alignment horizontal="right" vertical="bottom"/>
    </xf>
    <xf borderId="28" fillId="0" fontId="1" numFmtId="0" xfId="0" applyAlignment="1" applyBorder="1" applyFont="1">
      <alignment vertical="bottom"/>
    </xf>
    <xf borderId="30" fillId="0" fontId="1" numFmtId="0" xfId="0" applyAlignment="1" applyBorder="1" applyFont="1">
      <alignment vertical="bottom"/>
    </xf>
    <xf borderId="25" fillId="0" fontId="3" numFmtId="0" xfId="0" applyAlignment="1" applyBorder="1" applyFont="1">
      <alignment horizontal="right" vertical="bottom"/>
    </xf>
    <xf borderId="31" fillId="0" fontId="9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28" fillId="0" fontId="1" numFmtId="0" xfId="0" applyBorder="1" applyFont="1"/>
    <xf borderId="29" fillId="0" fontId="10" numFmtId="165" xfId="0" applyAlignment="1" applyBorder="1" applyFont="1" applyNumberFormat="1">
      <alignment horizontal="right" vertical="bottom"/>
    </xf>
    <xf borderId="14" fillId="0" fontId="1" numFmtId="0" xfId="0" applyAlignment="1" applyBorder="1" applyFont="1">
      <alignment vertical="bottom"/>
    </xf>
    <xf borderId="25" fillId="0" fontId="9" numFmtId="0" xfId="0" applyAlignment="1" applyBorder="1" applyFont="1">
      <alignment horizontal="right" vertical="bottom"/>
    </xf>
    <xf borderId="26" fillId="0" fontId="9" numFmtId="165" xfId="0" applyAlignment="1" applyBorder="1" applyFont="1" applyNumberFormat="1">
      <alignment horizontal="right" vertical="bottom"/>
    </xf>
    <xf borderId="28" fillId="0" fontId="10" numFmtId="166" xfId="0" applyBorder="1" applyFont="1" applyNumberFormat="1"/>
    <xf borderId="28" fillId="0" fontId="10" numFmtId="0" xfId="0" applyAlignment="1" applyBorder="1" applyFont="1">
      <alignment vertical="bottom"/>
    </xf>
    <xf borderId="28" fillId="0" fontId="10" numFmtId="0" xfId="0" applyBorder="1" applyFont="1"/>
    <xf borderId="25" fillId="0" fontId="9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20" fillId="0" fontId="10" numFmtId="0" xfId="0" applyAlignment="1" applyBorder="1" applyFont="1">
      <alignment vertical="bottom"/>
    </xf>
    <xf borderId="26" fillId="0" fontId="10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5" fontId="3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vertical="bottom"/>
    </xf>
    <xf borderId="8" fillId="0" fontId="1" numFmtId="166" xfId="0" applyAlignment="1" applyBorder="1" applyFont="1" applyNumberFormat="1">
      <alignment vertical="bottom"/>
    </xf>
    <xf borderId="8" fillId="0" fontId="1" numFmtId="165" xfId="0" applyAlignment="1" applyBorder="1" applyFont="1" applyNumberFormat="1">
      <alignment vertical="bottom"/>
    </xf>
    <xf borderId="8" fillId="0" fontId="6" numFmtId="0" xfId="0" applyBorder="1" applyFont="1"/>
    <xf borderId="8" fillId="0" fontId="1" numFmtId="169" xfId="0" applyAlignment="1" applyBorder="1" applyFont="1" applyNumberFormat="1">
      <alignment vertical="bottom"/>
    </xf>
    <xf borderId="8" fillId="0" fontId="1" numFmtId="165" xfId="0" applyAlignment="1" applyBorder="1" applyFont="1" applyNumberFormat="1">
      <alignment horizontal="right" vertical="bottom"/>
    </xf>
    <xf borderId="8" fillId="0" fontId="1" numFmtId="169" xfId="0" applyBorder="1" applyFont="1" applyNumberFormat="1"/>
    <xf borderId="8" fillId="0" fontId="1" numFmtId="0" xfId="0" applyAlignment="1" applyBorder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12" fontId="1" numFmtId="0" xfId="0" applyAlignment="1" applyFill="1" applyFont="1">
      <alignment vertical="bottom"/>
    </xf>
    <xf borderId="0" fillId="12" fontId="1" numFmtId="165" xfId="0" applyAlignment="1" applyFont="1" applyNumberFormat="1">
      <alignment horizontal="right" vertical="bottom"/>
    </xf>
    <xf borderId="0" fillId="13" fontId="1" numFmtId="0" xfId="0" applyAlignment="1" applyFill="1" applyFont="1">
      <alignment vertical="bottom"/>
    </xf>
    <xf borderId="0" fillId="13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Transacciones-style">
      <tableStyleElement dxfId="1" type="firstRowStripe"/>
      <tableStyleElement dxfId="2" type="secondRowStripe"/>
    </tableStyle>
    <tableStyle count="2" pivot="0" name="Transacciones-style 2">
      <tableStyleElement dxfId="1" type="firstRowStripe"/>
      <tableStyleElement dxfId="2" type="secondRowStripe"/>
    </tableStyle>
    <tableStyle count="2" pivot="0" name="Transacciones-style 3">
      <tableStyleElement dxfId="1" type="firstRowStripe"/>
      <tableStyleElement dxfId="2" type="secondRowStripe"/>
    </tableStyle>
    <tableStyle count="2" pivot="0" name="Transaccione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3" displayName="Table_1" name="Table_1" id="1">
  <tableColumns count="1">
    <tableColumn name="Column1" id="1"/>
  </tableColumns>
  <tableStyleInfo name="Transacciones-style" showColumnStripes="0" showFirstColumn="1" showLastColumn="1" showRowStripes="1"/>
</table>
</file>

<file path=xl/tables/table2.xml><?xml version="1.0" encoding="utf-8"?>
<table xmlns="http://schemas.openxmlformats.org/spreadsheetml/2006/main" headerRowCount="0" ref="C41" displayName="Table_2" name="Table_2" id="2">
  <tableColumns count="1">
    <tableColumn name="Column1" id="1"/>
  </tableColumns>
  <tableStyleInfo name="Transaccion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78" displayName="Table_3" name="Table_3" id="3">
  <tableColumns count="1">
    <tableColumn name="Column1" id="1"/>
  </tableColumns>
  <tableStyleInfo name="Transaccion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C85" displayName="Table_4" name="Table_4" id="4">
  <tableColumns count="1">
    <tableColumn name="Column1" id="1"/>
  </tableColumns>
  <tableStyleInfo name="Transaccione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4" max="4" width="22.63"/>
    <col customWidth="1" min="5" max="5" width="29.63"/>
    <col customWidth="1" min="7" max="7" width="29.5"/>
    <col customWidth="1" min="9" max="9" width="17.63"/>
    <col customWidth="1" min="11" max="11" width="26.88"/>
    <col customWidth="1" min="13" max="13" width="51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/>
      <c r="C4" s="3" t="s">
        <v>1</v>
      </c>
      <c r="D4" s="4"/>
      <c r="E4" s="4"/>
      <c r="F4" s="5"/>
      <c r="G4" s="3" t="s">
        <v>2</v>
      </c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"/>
      <c r="C5" s="6" t="s">
        <v>3</v>
      </c>
      <c r="D5" s="4"/>
      <c r="E5" s="4"/>
      <c r="F5" s="5"/>
      <c r="G5" s="7" t="s">
        <v>4</v>
      </c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"/>
      <c r="C7" s="8" t="s">
        <v>5</v>
      </c>
      <c r="D7" s="9"/>
      <c r="E7" s="10" t="s">
        <v>6</v>
      </c>
      <c r="F7" s="11"/>
      <c r="G7" s="11"/>
      <c r="H7" s="11"/>
      <c r="I7" s="11"/>
      <c r="J7" s="11"/>
      <c r="K7" s="11"/>
      <c r="L7" s="9"/>
      <c r="M7" s="12" t="s">
        <v>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3"/>
      <c r="B8" s="14" t="s">
        <v>8</v>
      </c>
      <c r="C8" s="15" t="s">
        <v>9</v>
      </c>
      <c r="D8" s="16" t="s">
        <v>10</v>
      </c>
      <c r="E8" s="17" t="s">
        <v>11</v>
      </c>
      <c r="F8" s="17" t="s">
        <v>12</v>
      </c>
      <c r="G8" s="17" t="s">
        <v>13</v>
      </c>
      <c r="H8" s="18" t="s">
        <v>14</v>
      </c>
      <c r="I8" s="18" t="s">
        <v>15</v>
      </c>
      <c r="J8" s="18" t="s">
        <v>16</v>
      </c>
      <c r="K8" s="19" t="s">
        <v>17</v>
      </c>
      <c r="L8" s="20" t="s">
        <v>18</v>
      </c>
      <c r="M8" s="2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2"/>
      <c r="B9" s="23">
        <v>0.0</v>
      </c>
      <c r="C9" s="24"/>
      <c r="D9" s="25"/>
      <c r="E9" s="25"/>
      <c r="F9" s="26">
        <v>1077.88</v>
      </c>
      <c r="G9" s="27" t="s">
        <v>19</v>
      </c>
      <c r="H9" s="25"/>
      <c r="I9" s="25"/>
      <c r="J9" s="25"/>
      <c r="K9" s="25"/>
      <c r="L9" s="25"/>
      <c r="M9" s="25"/>
      <c r="N9" s="1"/>
      <c r="O9" s="1"/>
      <c r="P9" s="1"/>
      <c r="Q9" s="28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9"/>
      <c r="B10" s="29">
        <v>1.0</v>
      </c>
      <c r="C10" s="30">
        <v>46026.0</v>
      </c>
      <c r="D10" s="31" t="s">
        <v>20</v>
      </c>
      <c r="F10" s="32">
        <v>10.0</v>
      </c>
      <c r="G10" s="33" t="s">
        <v>21</v>
      </c>
      <c r="H10" s="34"/>
      <c r="I10" s="35"/>
      <c r="J10" s="36"/>
      <c r="K10" s="35"/>
      <c r="L10" s="36"/>
      <c r="M10" s="35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ht="15.75" customHeight="1">
      <c r="A11" s="38"/>
      <c r="B11" s="38">
        <v>2.0</v>
      </c>
      <c r="C11" s="30">
        <v>46026.0</v>
      </c>
      <c r="D11" s="31" t="s">
        <v>20</v>
      </c>
      <c r="F11" s="32">
        <v>10.0</v>
      </c>
      <c r="G11" s="33" t="s">
        <v>21</v>
      </c>
      <c r="H11" s="34"/>
      <c r="I11" s="3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38"/>
      <c r="B12" s="38">
        <v>3.0</v>
      </c>
      <c r="C12" s="30">
        <v>46057.0</v>
      </c>
      <c r="D12" s="31" t="s">
        <v>20</v>
      </c>
      <c r="F12" s="32">
        <v>10.0</v>
      </c>
      <c r="G12" s="33" t="s">
        <v>21</v>
      </c>
      <c r="H12" s="34"/>
      <c r="I12" s="35"/>
      <c r="J12" s="1"/>
      <c r="K12" s="1"/>
      <c r="L12" s="3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38"/>
      <c r="B13" s="38">
        <v>4.0</v>
      </c>
      <c r="C13" s="30">
        <v>46207.0</v>
      </c>
      <c r="D13" s="31" t="s">
        <v>20</v>
      </c>
      <c r="E13" s="35"/>
      <c r="F13" s="32">
        <v>10.0</v>
      </c>
      <c r="G13" s="33" t="s">
        <v>21</v>
      </c>
      <c r="H13" s="34"/>
      <c r="I13" s="35"/>
      <c r="J13" s="1"/>
      <c r="K13" s="1"/>
      <c r="L13" s="3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38"/>
      <c r="B14" s="38">
        <v>5.0</v>
      </c>
      <c r="C14" s="30">
        <v>46207.0</v>
      </c>
      <c r="D14" s="31" t="s">
        <v>20</v>
      </c>
      <c r="E14" s="35"/>
      <c r="F14" s="32">
        <v>10.0</v>
      </c>
      <c r="G14" s="33" t="s">
        <v>21</v>
      </c>
      <c r="H14" s="34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38"/>
      <c r="B15" s="38">
        <v>6.0</v>
      </c>
      <c r="C15" s="30">
        <v>46238.0</v>
      </c>
      <c r="D15" s="31" t="s">
        <v>20</v>
      </c>
      <c r="E15" s="31"/>
      <c r="F15" s="32">
        <v>10.0</v>
      </c>
      <c r="G15" s="33" t="s">
        <v>21</v>
      </c>
      <c r="H15" s="34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38"/>
      <c r="B16" s="39">
        <v>7.0</v>
      </c>
      <c r="C16" s="30">
        <v>46238.0</v>
      </c>
      <c r="D16" s="31" t="s">
        <v>20</v>
      </c>
      <c r="E16" s="40"/>
      <c r="F16" s="32">
        <v>10.0</v>
      </c>
      <c r="G16" s="33" t="s">
        <v>21</v>
      </c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38"/>
      <c r="B17" s="38">
        <v>8.0</v>
      </c>
      <c r="C17" s="42" t="s">
        <v>22</v>
      </c>
      <c r="D17" s="43" t="s">
        <v>23</v>
      </c>
      <c r="E17" s="40"/>
      <c r="F17" s="44">
        <v>0.05</v>
      </c>
      <c r="G17" s="45" t="s">
        <v>24</v>
      </c>
      <c r="H17" s="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38"/>
      <c r="B18" s="46">
        <v>9.0</v>
      </c>
      <c r="C18" s="42" t="s">
        <v>25</v>
      </c>
      <c r="D18" s="43" t="s">
        <v>26</v>
      </c>
      <c r="E18" s="1"/>
      <c r="F18" s="44">
        <v>54.83</v>
      </c>
      <c r="G18" s="43" t="s">
        <v>27</v>
      </c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38"/>
      <c r="B19" s="46">
        <v>10.0</v>
      </c>
      <c r="C19" s="42" t="s">
        <v>28</v>
      </c>
      <c r="D19" s="47" t="s">
        <v>20</v>
      </c>
      <c r="E19" s="1"/>
      <c r="F19" s="48">
        <v>20.0</v>
      </c>
      <c r="G19" s="49" t="s">
        <v>29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38"/>
      <c r="B20" s="46">
        <v>11.0</v>
      </c>
      <c r="C20" s="42" t="s">
        <v>30</v>
      </c>
      <c r="D20" s="47" t="s">
        <v>20</v>
      </c>
      <c r="E20" s="1"/>
      <c r="F20" s="48">
        <v>10.0</v>
      </c>
      <c r="G20" s="33" t="s">
        <v>21</v>
      </c>
      <c r="H20" s="4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38"/>
      <c r="B21" s="46">
        <v>12.0</v>
      </c>
      <c r="C21" s="42" t="s">
        <v>31</v>
      </c>
      <c r="D21" s="46" t="s">
        <v>32</v>
      </c>
      <c r="E21" s="1"/>
      <c r="F21" s="50">
        <v>20.0</v>
      </c>
      <c r="G21" s="46" t="s">
        <v>33</v>
      </c>
      <c r="H21" s="41"/>
      <c r="J21" s="1"/>
      <c r="K21" s="46" t="s">
        <v>34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38"/>
      <c r="B22" s="46">
        <v>13.0</v>
      </c>
      <c r="C22" s="42" t="s">
        <v>35</v>
      </c>
      <c r="D22" s="46" t="s">
        <v>20</v>
      </c>
      <c r="E22" s="1"/>
      <c r="F22" s="51">
        <v>10.0</v>
      </c>
      <c r="G22" s="33" t="s">
        <v>21</v>
      </c>
      <c r="H22" s="4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38"/>
      <c r="B23" s="1"/>
      <c r="C23" s="52"/>
      <c r="D23" s="1"/>
      <c r="E23" s="1"/>
      <c r="F23" s="53"/>
      <c r="G23" s="1"/>
      <c r="H23" s="4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38"/>
      <c r="B24" s="1"/>
      <c r="C24" s="52"/>
      <c r="D24" s="1"/>
      <c r="E24" s="1"/>
      <c r="F24" s="53"/>
      <c r="G24" s="1"/>
      <c r="H24" s="4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38"/>
      <c r="B25" s="1"/>
      <c r="C25" s="52"/>
      <c r="D25" s="1"/>
      <c r="E25" s="54"/>
      <c r="F25" s="53"/>
      <c r="G25" s="1"/>
      <c r="H25" s="4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38"/>
      <c r="B26" s="1"/>
      <c r="C26" s="55"/>
      <c r="D26" s="54"/>
      <c r="E26" s="54"/>
      <c r="F26" s="53"/>
      <c r="G26" s="1"/>
      <c r="H26" s="4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55"/>
      <c r="D27" s="54"/>
      <c r="E27" s="54"/>
      <c r="F27" s="5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55"/>
      <c r="D28" s="54"/>
      <c r="E28" s="54"/>
      <c r="F28" s="5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54"/>
      <c r="C29" s="55"/>
      <c r="D29" s="54"/>
      <c r="E29" s="54"/>
      <c r="F29" s="54"/>
      <c r="G29" s="5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54"/>
      <c r="C30" s="55"/>
      <c r="D30" s="54"/>
      <c r="E30" s="54"/>
      <c r="F30" s="54"/>
      <c r="G30" s="5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54"/>
      <c r="C31" s="55"/>
      <c r="D31" s="54"/>
      <c r="E31" s="54"/>
      <c r="F31" s="54"/>
      <c r="G31" s="5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B32" s="54"/>
      <c r="C32" s="55"/>
      <c r="D32" s="54"/>
      <c r="E32" s="54"/>
      <c r="F32" s="54"/>
      <c r="G32" s="54"/>
    </row>
    <row r="33" ht="15.75" customHeight="1">
      <c r="B33" s="54"/>
      <c r="C33" s="56"/>
      <c r="D33" s="54"/>
      <c r="E33" s="54"/>
      <c r="F33" s="54"/>
      <c r="G33" s="54"/>
    </row>
    <row r="34" ht="15.75" customHeight="1">
      <c r="B34" s="54"/>
      <c r="C34" s="55"/>
      <c r="D34" s="54"/>
      <c r="E34" s="54"/>
      <c r="F34" s="54"/>
      <c r="G34" s="54"/>
    </row>
    <row r="35" ht="15.75" customHeight="1">
      <c r="B35" s="54"/>
      <c r="C35" s="55"/>
      <c r="D35" s="54"/>
      <c r="E35" s="54"/>
      <c r="F35" s="54"/>
      <c r="G35" s="54"/>
    </row>
    <row r="36" ht="15.75" customHeight="1">
      <c r="B36" s="54"/>
      <c r="C36" s="55"/>
      <c r="D36" s="54"/>
      <c r="E36" s="54"/>
      <c r="F36" s="54"/>
      <c r="G36" s="54"/>
    </row>
    <row r="37" ht="15.75" customHeight="1">
      <c r="B37" s="54"/>
      <c r="C37" s="55"/>
      <c r="D37" s="54"/>
      <c r="E37" s="54"/>
      <c r="F37" s="54"/>
      <c r="G37" s="54"/>
    </row>
    <row r="38" ht="15.75" customHeight="1">
      <c r="B38" s="54"/>
      <c r="C38" s="55"/>
      <c r="D38" s="54"/>
      <c r="E38" s="54"/>
      <c r="F38" s="54"/>
      <c r="G38" s="54"/>
    </row>
    <row r="39" ht="15.75" customHeight="1">
      <c r="B39" s="54"/>
      <c r="C39" s="55"/>
      <c r="D39" s="54"/>
      <c r="E39" s="54"/>
      <c r="F39" s="54"/>
      <c r="G39" s="54"/>
    </row>
    <row r="40" ht="15.75" customHeight="1">
      <c r="B40" s="54"/>
      <c r="C40" s="55"/>
      <c r="D40" s="54"/>
      <c r="E40" s="54"/>
      <c r="F40" s="54"/>
      <c r="G40" s="54"/>
    </row>
    <row r="41" ht="15.75" customHeight="1">
      <c r="B41" s="54"/>
      <c r="C41" s="55"/>
      <c r="D41" s="54"/>
      <c r="E41" s="54"/>
      <c r="F41" s="54"/>
      <c r="G41" s="54"/>
    </row>
    <row r="42" ht="15.75" customHeight="1">
      <c r="B42" s="54"/>
      <c r="C42" s="55"/>
      <c r="D42" s="54"/>
      <c r="E42" s="54"/>
      <c r="F42" s="54"/>
      <c r="G42" s="54"/>
    </row>
    <row r="43" ht="15.75" customHeight="1">
      <c r="B43" s="54"/>
      <c r="C43" s="55"/>
      <c r="D43" s="54"/>
      <c r="E43" s="54"/>
      <c r="F43" s="54"/>
      <c r="G43" s="54"/>
    </row>
    <row r="44" ht="15.75" customHeight="1">
      <c r="B44" s="54"/>
      <c r="C44" s="55"/>
      <c r="D44" s="54"/>
      <c r="E44" s="54"/>
      <c r="F44" s="54"/>
      <c r="G44" s="54"/>
    </row>
    <row r="45" ht="15.75" customHeight="1">
      <c r="B45" s="54"/>
      <c r="C45" s="55"/>
      <c r="D45" s="54"/>
      <c r="E45" s="54"/>
      <c r="F45" s="54"/>
      <c r="G45" s="54"/>
    </row>
    <row r="46" ht="15.75" customHeight="1">
      <c r="B46" s="54"/>
      <c r="C46" s="55"/>
      <c r="D46" s="54"/>
      <c r="E46" s="54"/>
      <c r="F46" s="54"/>
      <c r="G46" s="54"/>
    </row>
    <row r="47" ht="15.75" customHeight="1">
      <c r="B47" s="54"/>
      <c r="C47" s="55"/>
      <c r="D47" s="54"/>
      <c r="E47" s="54"/>
      <c r="F47" s="54"/>
      <c r="G47" s="54"/>
    </row>
    <row r="48" ht="15.75" customHeight="1">
      <c r="B48" s="54"/>
      <c r="C48" s="55"/>
      <c r="D48" s="54"/>
      <c r="E48" s="54"/>
      <c r="F48" s="54"/>
      <c r="G48" s="54"/>
    </row>
    <row r="49" ht="15.75" customHeight="1">
      <c r="B49" s="54"/>
      <c r="C49" s="55"/>
      <c r="D49" s="54"/>
      <c r="E49" s="54"/>
      <c r="F49" s="54"/>
      <c r="G49" s="54"/>
    </row>
    <row r="50" ht="15.75" customHeight="1">
      <c r="B50" s="54"/>
      <c r="C50" s="55"/>
      <c r="D50" s="54"/>
      <c r="E50" s="54"/>
      <c r="F50" s="54"/>
      <c r="G50" s="54"/>
    </row>
    <row r="51" ht="15.75" customHeight="1">
      <c r="B51" s="54"/>
      <c r="C51" s="55"/>
      <c r="D51" s="54"/>
      <c r="E51" s="54"/>
      <c r="F51" s="54"/>
      <c r="G51" s="54"/>
    </row>
    <row r="52" ht="15.75" customHeight="1">
      <c r="B52" s="54"/>
      <c r="C52" s="55"/>
      <c r="D52" s="54"/>
      <c r="E52" s="54"/>
      <c r="F52" s="54"/>
      <c r="G52" s="54"/>
    </row>
    <row r="53" ht="15.75" customHeight="1">
      <c r="B53" s="54"/>
      <c r="C53" s="55"/>
      <c r="D53" s="54"/>
      <c r="E53" s="54"/>
      <c r="F53" s="54"/>
      <c r="G53" s="54"/>
    </row>
    <row r="54" ht="15.75" customHeight="1">
      <c r="C54" s="52"/>
    </row>
    <row r="55" ht="15.75" customHeight="1">
      <c r="C55" s="52"/>
    </row>
    <row r="56" ht="15.75" customHeight="1">
      <c r="C56" s="52"/>
    </row>
    <row r="57" ht="15.75" customHeight="1">
      <c r="C57" s="52"/>
    </row>
    <row r="58" ht="15.75" customHeight="1">
      <c r="A58" s="38"/>
      <c r="C58" s="5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57"/>
      <c r="T58" s="57"/>
      <c r="U58" s="57"/>
      <c r="V58" s="57"/>
      <c r="W58" s="57"/>
      <c r="X58" s="57"/>
      <c r="Y58" s="57"/>
      <c r="Z58" s="57"/>
      <c r="AA58" s="57"/>
    </row>
    <row r="59" ht="15.75" customHeight="1">
      <c r="C59" s="52"/>
    </row>
    <row r="60" ht="15.75" customHeight="1">
      <c r="C60" s="52"/>
    </row>
    <row r="61" ht="15.75" customHeight="1"/>
    <row r="62" ht="15.75" customHeight="1">
      <c r="B62" s="38"/>
      <c r="C62" s="52"/>
      <c r="D62" s="31"/>
      <c r="F62" s="32"/>
      <c r="G62" s="33"/>
    </row>
    <row r="63" ht="15.75" customHeight="1">
      <c r="B63" s="38"/>
      <c r="C63" s="52"/>
      <c r="F63" s="32"/>
      <c r="G63" s="33"/>
    </row>
    <row r="64" ht="15.75" customHeight="1">
      <c r="B64" s="38"/>
      <c r="C64" s="52"/>
      <c r="F64" s="32"/>
      <c r="G64" s="33"/>
    </row>
    <row r="65" ht="15.75" customHeight="1">
      <c r="B65" s="38"/>
      <c r="C65" s="52"/>
      <c r="F65" s="32"/>
      <c r="G65" s="33"/>
    </row>
    <row r="66" ht="15.75" customHeight="1">
      <c r="C66" s="52"/>
    </row>
    <row r="67" ht="15.75" customHeight="1">
      <c r="C67" s="52"/>
    </row>
    <row r="68" ht="15.75" customHeight="1">
      <c r="C68" s="52"/>
    </row>
    <row r="69" ht="15.75" customHeight="1">
      <c r="C69" s="52"/>
    </row>
    <row r="70" ht="15.75" customHeight="1">
      <c r="C70" s="52"/>
    </row>
    <row r="71" ht="15.75" customHeight="1">
      <c r="C71" s="58"/>
    </row>
    <row r="72" ht="15.75" customHeight="1">
      <c r="C72" s="52"/>
    </row>
    <row r="73" ht="15.75" customHeight="1">
      <c r="C73" s="52"/>
    </row>
    <row r="74" ht="15.75" customHeight="1">
      <c r="C74" s="52"/>
    </row>
    <row r="75" ht="15.75" customHeight="1">
      <c r="C75" s="52"/>
    </row>
    <row r="76" ht="15.75" customHeight="1">
      <c r="C76" s="52"/>
    </row>
    <row r="77" ht="15.75" customHeight="1">
      <c r="C77" s="52"/>
    </row>
    <row r="78" ht="15.75" customHeight="1">
      <c r="C78" s="58"/>
    </row>
    <row r="79" ht="15.75" customHeight="1">
      <c r="C79" s="52"/>
    </row>
    <row r="80" ht="15.75" customHeight="1">
      <c r="C80" s="52"/>
    </row>
    <row r="81" ht="15.75" customHeight="1">
      <c r="C81" s="52"/>
    </row>
    <row r="82" ht="15.75" customHeight="1">
      <c r="C82" s="52"/>
    </row>
    <row r="83" ht="15.75" customHeight="1">
      <c r="C83" s="52"/>
    </row>
    <row r="84" ht="15.75" customHeight="1">
      <c r="C84" s="52"/>
    </row>
    <row r="85" ht="15.75" customHeight="1">
      <c r="C85" s="52"/>
    </row>
    <row r="86" ht="15.75" customHeight="1">
      <c r="C86" s="52"/>
    </row>
    <row r="87" ht="15.75" customHeight="1">
      <c r="C87" s="52"/>
    </row>
    <row r="88" ht="15.75" customHeight="1">
      <c r="C88" s="52"/>
    </row>
    <row r="89" ht="15.75" customHeight="1">
      <c r="C89" s="52"/>
    </row>
    <row r="90" ht="15.75" customHeight="1">
      <c r="C90" s="52"/>
    </row>
    <row r="91" ht="15.75" customHeight="1">
      <c r="C91" s="52"/>
    </row>
    <row r="92" ht="15.75" customHeight="1">
      <c r="C92" s="52"/>
    </row>
    <row r="93" ht="15.75" customHeight="1">
      <c r="C93" s="52"/>
    </row>
    <row r="94" ht="15.75" customHeight="1">
      <c r="C94" s="52"/>
    </row>
    <row r="95" ht="15.75" customHeight="1">
      <c r="C95" s="52"/>
    </row>
    <row r="96" ht="15.75" customHeight="1">
      <c r="C96" s="52"/>
    </row>
    <row r="97" ht="15.75" customHeight="1">
      <c r="C97" s="52"/>
    </row>
    <row r="98" ht="15.75" customHeight="1"/>
    <row r="99" ht="15.75" customHeight="1">
      <c r="C99" s="52"/>
    </row>
    <row r="100" ht="15.75" customHeight="1">
      <c r="C100" s="52"/>
    </row>
    <row r="101" ht="15.75" customHeight="1">
      <c r="C101" s="52"/>
    </row>
    <row r="102" ht="15.75" customHeight="1">
      <c r="C102" s="52"/>
    </row>
    <row r="103" ht="15.75" customHeight="1">
      <c r="C103" s="52"/>
    </row>
    <row r="104" ht="15.75" customHeight="1">
      <c r="C104" s="52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mergeCells count="8">
    <mergeCell ref="C2:K2"/>
    <mergeCell ref="C4:F4"/>
    <mergeCell ref="G4:H4"/>
    <mergeCell ref="C5:F5"/>
    <mergeCell ref="G5:H5"/>
    <mergeCell ref="C7:D7"/>
    <mergeCell ref="E7:L7"/>
    <mergeCell ref="M7:M8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3" max="3" width="21.0"/>
    <col customWidth="1" min="4" max="4" width="13.0"/>
    <col customWidth="1" min="6" max="6" width="35.13"/>
  </cols>
  <sheetData>
    <row r="1" ht="15.75" customHeight="1"/>
    <row r="2" ht="15.75" customHeight="1">
      <c r="B2" s="59" t="s">
        <v>36</v>
      </c>
      <c r="C2" s="60"/>
      <c r="D2" s="61" t="s">
        <v>37</v>
      </c>
      <c r="E2" s="62"/>
      <c r="F2" s="63" t="s">
        <v>38</v>
      </c>
    </row>
    <row r="3" ht="15.75" customHeight="1">
      <c r="B3" s="64" t="s">
        <v>39</v>
      </c>
      <c r="C3" s="65"/>
      <c r="D3" s="66">
        <f>Transacciones!F9</f>
        <v>1077.88</v>
      </c>
      <c r="E3" s="67"/>
      <c r="F3" s="68"/>
    </row>
    <row r="4" ht="15.75" customHeight="1">
      <c r="B4" s="69" t="s">
        <v>40</v>
      </c>
      <c r="C4" s="70"/>
      <c r="D4" s="71">
        <f>D108</f>
        <v>110</v>
      </c>
      <c r="E4" s="72"/>
      <c r="F4" s="73"/>
    </row>
    <row r="5" ht="15.75" customHeight="1">
      <c r="B5" s="69" t="s">
        <v>41</v>
      </c>
      <c r="C5" s="70"/>
      <c r="D5" s="74">
        <f>D32</f>
        <v>0</v>
      </c>
      <c r="E5" s="72"/>
      <c r="F5" s="75"/>
    </row>
    <row r="6" ht="15.75" customHeight="1">
      <c r="B6" s="76" t="s">
        <v>42</v>
      </c>
      <c r="D6" s="74">
        <f>D25</f>
        <v>74.88</v>
      </c>
      <c r="E6" s="1"/>
      <c r="F6" s="77"/>
    </row>
    <row r="7" ht="15.75" customHeight="1">
      <c r="B7" s="78" t="s">
        <v>43</v>
      </c>
      <c r="C7" s="79"/>
      <c r="D7" s="80">
        <f>D3+D4-D6</f>
        <v>1113</v>
      </c>
      <c r="E7" s="81"/>
      <c r="F7" s="82"/>
    </row>
    <row r="8" ht="15.75" customHeight="1">
      <c r="B8" s="1"/>
      <c r="C8" s="1"/>
      <c r="D8" s="1"/>
      <c r="E8" s="1"/>
      <c r="F8" s="1"/>
    </row>
    <row r="9" ht="15.75" customHeight="1">
      <c r="B9" s="1"/>
      <c r="C9" s="83" t="s">
        <v>44</v>
      </c>
      <c r="D9" s="1"/>
    </row>
    <row r="10" ht="15.75" customHeight="1">
      <c r="B10" s="84" t="s">
        <v>45</v>
      </c>
      <c r="C10" s="85" t="s">
        <v>46</v>
      </c>
      <c r="D10" s="85" t="s">
        <v>37</v>
      </c>
      <c r="E10" s="85" t="s">
        <v>47</v>
      </c>
      <c r="F10" s="63" t="s">
        <v>48</v>
      </c>
    </row>
    <row r="11" ht="15.75" customHeight="1">
      <c r="B11" s="86" t="str">
        <f>Transacciones!C17</f>
        <v>14/04/2026</v>
      </c>
      <c r="C11" s="86" t="str">
        <f>Transacciones!D17</f>
        <v>ITF </v>
      </c>
      <c r="D11" s="87">
        <f>Transacciones!F17</f>
        <v>0.05</v>
      </c>
      <c r="E11" s="88"/>
      <c r="F11" s="75"/>
    </row>
    <row r="12" ht="15.75" customHeight="1">
      <c r="B12" s="86" t="str">
        <f>Transacciones!C18</f>
        <v>16/04/2026</v>
      </c>
      <c r="C12" s="86" t="str">
        <f>Transacciones!D18</f>
        <v>Capacitación</v>
      </c>
      <c r="D12" s="89">
        <f>Transacciones!F18</f>
        <v>54.83</v>
      </c>
      <c r="E12" s="88"/>
      <c r="F12" s="75"/>
    </row>
    <row r="13" ht="15.75" customHeight="1">
      <c r="B13" s="86" t="str">
        <f>Transacciones!C21</f>
        <v>25/04/2026</v>
      </c>
      <c r="C13" s="90" t="str">
        <f>Transacciones!D21</f>
        <v>Integración</v>
      </c>
      <c r="D13" s="91">
        <f>Transacciones!F21</f>
        <v>20</v>
      </c>
      <c r="E13" s="88"/>
      <c r="F13" s="75"/>
    </row>
    <row r="14" ht="15.75" customHeight="1">
      <c r="B14" s="86"/>
      <c r="C14" s="90"/>
      <c r="D14" s="91"/>
      <c r="E14" s="88"/>
      <c r="F14" s="75"/>
    </row>
    <row r="15" ht="15.75" customHeight="1">
      <c r="B15" s="86"/>
      <c r="C15" s="90"/>
      <c r="D15" s="91"/>
      <c r="E15" s="88"/>
      <c r="F15" s="75"/>
    </row>
    <row r="16" ht="15.75" customHeight="1">
      <c r="B16" s="86"/>
      <c r="C16" s="90"/>
      <c r="D16" s="91"/>
      <c r="E16" s="88"/>
      <c r="F16" s="75"/>
    </row>
    <row r="17" ht="15.75" customHeight="1">
      <c r="B17" s="86"/>
      <c r="C17" s="90"/>
      <c r="D17" s="91"/>
      <c r="E17" s="88"/>
      <c r="F17" s="75"/>
    </row>
    <row r="18" ht="15.75" customHeight="1">
      <c r="B18" s="86"/>
      <c r="C18" s="90"/>
      <c r="D18" s="91"/>
      <c r="E18" s="88"/>
      <c r="F18" s="75"/>
    </row>
    <row r="19" ht="15.75" customHeight="1">
      <c r="B19" s="86"/>
      <c r="C19" s="90"/>
      <c r="D19" s="91"/>
      <c r="E19" s="88"/>
      <c r="F19" s="75"/>
    </row>
    <row r="20" ht="15.75" customHeight="1">
      <c r="B20" s="86"/>
      <c r="C20" s="90"/>
      <c r="D20" s="91"/>
      <c r="E20" s="88"/>
      <c r="F20" s="75"/>
    </row>
    <row r="21" ht="15.75" customHeight="1">
      <c r="B21" s="86"/>
      <c r="C21" s="90"/>
      <c r="D21" s="91"/>
      <c r="E21" s="88"/>
      <c r="F21" s="75"/>
    </row>
    <row r="22" ht="15.75" customHeight="1">
      <c r="B22" s="86"/>
      <c r="C22" s="90"/>
      <c r="D22" s="91"/>
      <c r="E22" s="88"/>
      <c r="F22" s="75"/>
    </row>
    <row r="23" ht="15.75" customHeight="1">
      <c r="B23" s="86"/>
      <c r="C23" s="90"/>
      <c r="D23" s="91"/>
      <c r="E23" s="88"/>
      <c r="F23" s="75"/>
    </row>
    <row r="24" ht="15.75" customHeight="1">
      <c r="B24" s="92"/>
      <c r="C24" s="92"/>
      <c r="D24" s="93"/>
      <c r="E24" s="88"/>
      <c r="F24" s="75"/>
    </row>
    <row r="25" ht="15.75" customHeight="1">
      <c r="B25" s="94" t="s">
        <v>49</v>
      </c>
      <c r="C25" s="79"/>
      <c r="D25" s="95">
        <f>SUM(D11:D24)</f>
        <v>74.88</v>
      </c>
      <c r="E25" s="81"/>
      <c r="F25" s="82"/>
    </row>
    <row r="26" ht="15.75" customHeight="1">
      <c r="B26" s="1"/>
      <c r="C26" s="1"/>
      <c r="D26" s="1"/>
      <c r="E26" s="1"/>
      <c r="F26" s="1"/>
    </row>
    <row r="27" ht="15.75" customHeight="1">
      <c r="B27" s="1"/>
      <c r="C27" s="1"/>
      <c r="D27" s="1"/>
      <c r="E27" s="1"/>
      <c r="F27" s="1"/>
    </row>
    <row r="28" ht="15.75" customHeight="1">
      <c r="B28" s="1"/>
      <c r="C28" s="83" t="s">
        <v>50</v>
      </c>
      <c r="D28" s="96" t="s">
        <v>51</v>
      </c>
      <c r="E28" s="1"/>
      <c r="F28" s="1"/>
    </row>
    <row r="29" ht="15.75" customHeight="1">
      <c r="B29" s="84" t="s">
        <v>45</v>
      </c>
      <c r="C29" s="85" t="s">
        <v>46</v>
      </c>
      <c r="D29" s="85" t="s">
        <v>37</v>
      </c>
      <c r="E29" s="85" t="s">
        <v>47</v>
      </c>
      <c r="F29" s="63" t="s">
        <v>48</v>
      </c>
    </row>
    <row r="30" ht="15.75" customHeight="1">
      <c r="B30" s="97"/>
      <c r="C30" s="92"/>
      <c r="D30" s="98">
        <v>0.0</v>
      </c>
      <c r="E30" s="88"/>
      <c r="F30" s="75"/>
    </row>
    <row r="31" ht="15.75" customHeight="1">
      <c r="B31" s="97"/>
      <c r="C31" s="99"/>
      <c r="D31" s="98">
        <v>0.0</v>
      </c>
      <c r="E31" s="88"/>
      <c r="F31" s="75"/>
    </row>
    <row r="32" ht="15.75" customHeight="1">
      <c r="B32" s="100" t="s">
        <v>52</v>
      </c>
      <c r="C32" s="79"/>
      <c r="D32" s="101">
        <f>D30+D31</f>
        <v>0</v>
      </c>
      <c r="E32" s="81"/>
      <c r="F32" s="82"/>
    </row>
    <row r="33" ht="15.75" customHeight="1">
      <c r="B33" s="1"/>
      <c r="C33" s="1"/>
      <c r="D33" s="1"/>
      <c r="E33" s="1"/>
      <c r="F33" s="1"/>
    </row>
    <row r="34" ht="15.75" customHeight="1">
      <c r="B34" s="1"/>
      <c r="C34" s="1"/>
      <c r="D34" s="1"/>
      <c r="E34" s="1"/>
      <c r="F34" s="1"/>
    </row>
    <row r="35" ht="15.75" customHeight="1">
      <c r="B35" s="1"/>
      <c r="C35" s="83" t="s">
        <v>53</v>
      </c>
      <c r="D35" s="1"/>
      <c r="E35" s="1"/>
      <c r="F35" s="1"/>
    </row>
    <row r="36" ht="15.75" customHeight="1">
      <c r="B36" s="84" t="s">
        <v>45</v>
      </c>
      <c r="C36" s="85" t="s">
        <v>46</v>
      </c>
      <c r="D36" s="85" t="s">
        <v>37</v>
      </c>
      <c r="E36" s="85" t="s">
        <v>47</v>
      </c>
      <c r="F36" s="63" t="s">
        <v>48</v>
      </c>
    </row>
    <row r="37" ht="15.75" customHeight="1">
      <c r="B37" s="102">
        <f>Transacciones!C10</f>
        <v>46026</v>
      </c>
      <c r="C37" s="103" t="str">
        <f>Transacciones!D10</f>
        <v>Membresía</v>
      </c>
      <c r="D37" s="98">
        <f>Transacciones!F10</f>
        <v>10</v>
      </c>
      <c r="E37" s="88" t="s">
        <v>54</v>
      </c>
      <c r="F37" s="75"/>
    </row>
    <row r="38" ht="15.75" customHeight="1">
      <c r="B38" s="102">
        <f>Transacciones!C11</f>
        <v>46026</v>
      </c>
      <c r="C38" s="103" t="str">
        <f>Transacciones!D11</f>
        <v>Membresía</v>
      </c>
      <c r="D38" s="98">
        <f>Transacciones!F11</f>
        <v>10</v>
      </c>
      <c r="E38" s="88" t="s">
        <v>54</v>
      </c>
      <c r="F38" s="75"/>
    </row>
    <row r="39" ht="15.75" customHeight="1">
      <c r="B39" s="102">
        <f>Transacciones!C12</f>
        <v>46057</v>
      </c>
      <c r="C39" s="103" t="str">
        <f>Transacciones!D12</f>
        <v>Membresía</v>
      </c>
      <c r="D39" s="98">
        <f>Transacciones!F12</f>
        <v>10</v>
      </c>
      <c r="E39" s="88" t="s">
        <v>54</v>
      </c>
      <c r="F39" s="75"/>
    </row>
    <row r="40" ht="15.75" customHeight="1">
      <c r="B40" s="102">
        <f>Transacciones!C13</f>
        <v>46207</v>
      </c>
      <c r="C40" s="103" t="str">
        <f>Transacciones!D13</f>
        <v>Membresía</v>
      </c>
      <c r="D40" s="98">
        <f>Transacciones!F13</f>
        <v>10</v>
      </c>
      <c r="E40" s="88" t="s">
        <v>54</v>
      </c>
      <c r="F40" s="75"/>
    </row>
    <row r="41" ht="15.75" customHeight="1">
      <c r="B41" s="102">
        <f>Transacciones!C14</f>
        <v>46207</v>
      </c>
      <c r="C41" s="103" t="str">
        <f>Transacciones!D14</f>
        <v>Membresía</v>
      </c>
      <c r="D41" s="98">
        <f>Transacciones!F14</f>
        <v>10</v>
      </c>
      <c r="E41" s="88" t="s">
        <v>54</v>
      </c>
      <c r="F41" s="75"/>
    </row>
    <row r="42" ht="15.75" customHeight="1">
      <c r="B42" s="102">
        <f>Transacciones!C15</f>
        <v>46238</v>
      </c>
      <c r="C42" s="103" t="str">
        <f>Transacciones!D15</f>
        <v>Membresía</v>
      </c>
      <c r="D42" s="98">
        <f>Transacciones!F15</f>
        <v>10</v>
      </c>
      <c r="E42" s="88" t="s">
        <v>54</v>
      </c>
      <c r="F42" s="75"/>
    </row>
    <row r="43" ht="15.75" customHeight="1">
      <c r="B43" s="102">
        <f>Transacciones!C16</f>
        <v>46238</v>
      </c>
      <c r="C43" s="103" t="str">
        <f>Transacciones!D16</f>
        <v>Membresía</v>
      </c>
      <c r="D43" s="98">
        <f>Transacciones!F16</f>
        <v>10</v>
      </c>
      <c r="E43" s="88" t="s">
        <v>54</v>
      </c>
      <c r="F43" s="75"/>
    </row>
    <row r="44" ht="15.75" customHeight="1">
      <c r="B44" s="102" t="str">
        <f>Transacciones!C19</f>
        <v>19/04/2026</v>
      </c>
      <c r="C44" s="104" t="str">
        <f>Transacciones!D19</f>
        <v>Membresía</v>
      </c>
      <c r="D44" s="98">
        <f>Transacciones!F19</f>
        <v>20</v>
      </c>
      <c r="E44" s="88" t="s">
        <v>54</v>
      </c>
      <c r="F44" s="75"/>
    </row>
    <row r="45" ht="15.75" customHeight="1">
      <c r="B45" s="102" t="str">
        <f>Transacciones!C20</f>
        <v>22/04/2026</v>
      </c>
      <c r="C45" s="104" t="str">
        <f>Transacciones!D20</f>
        <v>Membresía</v>
      </c>
      <c r="D45" s="98">
        <f>Transacciones!F20</f>
        <v>10</v>
      </c>
      <c r="E45" s="88" t="s">
        <v>54</v>
      </c>
      <c r="F45" s="75"/>
    </row>
    <row r="46" ht="15.75" customHeight="1">
      <c r="B46" s="102" t="str">
        <f>Transacciones!C22</f>
        <v>27/04/2026</v>
      </c>
      <c r="C46" s="104" t="str">
        <f>Transacciones!D22</f>
        <v>Membresía</v>
      </c>
      <c r="D46" s="98">
        <f>Transacciones!F22</f>
        <v>10</v>
      </c>
      <c r="E46" s="88" t="s">
        <v>54</v>
      </c>
      <c r="F46" s="75"/>
    </row>
    <row r="47" ht="15.75" customHeight="1">
      <c r="B47" s="104"/>
      <c r="C47" s="103"/>
      <c r="D47" s="98"/>
      <c r="E47" s="88"/>
      <c r="F47" s="75"/>
    </row>
    <row r="48" ht="15.75" customHeight="1">
      <c r="B48" s="104"/>
      <c r="C48" s="103"/>
      <c r="D48" s="98"/>
      <c r="E48" s="88"/>
      <c r="F48" s="75"/>
    </row>
    <row r="49" ht="15.75" customHeight="1">
      <c r="B49" s="104"/>
      <c r="C49" s="103"/>
      <c r="D49" s="98"/>
      <c r="E49" s="88"/>
      <c r="F49" s="75"/>
    </row>
    <row r="50" ht="15.75" customHeight="1">
      <c r="B50" s="104"/>
      <c r="C50" s="103"/>
      <c r="D50" s="98"/>
      <c r="E50" s="88"/>
      <c r="F50" s="75"/>
    </row>
    <row r="51" ht="15.75" customHeight="1">
      <c r="B51" s="104"/>
      <c r="C51" s="103"/>
      <c r="D51" s="98"/>
      <c r="E51" s="88"/>
      <c r="F51" s="75"/>
    </row>
    <row r="52" ht="15.75" customHeight="1">
      <c r="B52" s="104"/>
      <c r="C52" s="103"/>
      <c r="D52" s="98"/>
      <c r="E52" s="88"/>
      <c r="F52" s="75"/>
    </row>
    <row r="53" ht="15.75" customHeight="1">
      <c r="B53" s="104"/>
      <c r="C53" s="103"/>
      <c r="D53" s="98"/>
      <c r="E53" s="88"/>
      <c r="F53" s="75"/>
    </row>
    <row r="54" ht="15.75" customHeight="1">
      <c r="B54" s="104"/>
      <c r="C54" s="103"/>
      <c r="D54" s="98"/>
      <c r="E54" s="88"/>
      <c r="F54" s="75"/>
    </row>
    <row r="55" ht="15.75" customHeight="1">
      <c r="B55" s="104"/>
      <c r="C55" s="103"/>
      <c r="D55" s="98"/>
      <c r="E55" s="88"/>
      <c r="F55" s="75"/>
    </row>
    <row r="56" ht="15.75" customHeight="1">
      <c r="B56" s="104"/>
      <c r="C56" s="103"/>
      <c r="D56" s="98"/>
      <c r="E56" s="88"/>
      <c r="F56" s="75"/>
    </row>
    <row r="57" ht="15.75" customHeight="1">
      <c r="B57" s="104"/>
      <c r="C57" s="103"/>
      <c r="D57" s="98"/>
      <c r="E57" s="88"/>
      <c r="F57" s="75"/>
    </row>
    <row r="58" ht="15.75" customHeight="1">
      <c r="B58" s="104"/>
      <c r="C58" s="103"/>
      <c r="D58" s="98"/>
      <c r="E58" s="88"/>
      <c r="F58" s="75"/>
    </row>
    <row r="59" ht="15.75" customHeight="1">
      <c r="B59" s="104"/>
      <c r="C59" s="103"/>
      <c r="D59" s="98"/>
      <c r="E59" s="88"/>
      <c r="F59" s="75"/>
    </row>
    <row r="60" ht="15.75" customHeight="1">
      <c r="B60" s="104"/>
      <c r="C60" s="103"/>
      <c r="D60" s="98"/>
      <c r="E60" s="88"/>
      <c r="F60" s="75"/>
    </row>
    <row r="61" ht="15.75" customHeight="1">
      <c r="B61" s="104"/>
      <c r="C61" s="103"/>
      <c r="D61" s="98"/>
      <c r="E61" s="88"/>
      <c r="F61" s="75"/>
    </row>
    <row r="62" ht="15.75" customHeight="1">
      <c r="B62" s="104"/>
      <c r="C62" s="103"/>
      <c r="D62" s="98"/>
      <c r="E62" s="88"/>
      <c r="F62" s="75"/>
    </row>
    <row r="63" ht="15.75" customHeight="1">
      <c r="B63" s="104"/>
      <c r="C63" s="103"/>
      <c r="D63" s="98"/>
      <c r="E63" s="88"/>
      <c r="F63" s="75"/>
    </row>
    <row r="64" ht="15.75" customHeight="1">
      <c r="B64" s="104"/>
      <c r="C64" s="103"/>
      <c r="D64" s="98"/>
      <c r="E64" s="88"/>
      <c r="F64" s="75"/>
    </row>
    <row r="65" ht="15.75" customHeight="1">
      <c r="B65" s="104"/>
      <c r="C65" s="103"/>
      <c r="D65" s="98"/>
      <c r="E65" s="88"/>
      <c r="F65" s="75"/>
    </row>
    <row r="66" ht="15.75" customHeight="1">
      <c r="B66" s="104"/>
      <c r="C66" s="103"/>
      <c r="D66" s="98"/>
      <c r="E66" s="88"/>
      <c r="F66" s="75"/>
    </row>
    <row r="67" ht="15.75" customHeight="1">
      <c r="B67" s="104"/>
      <c r="C67" s="103"/>
      <c r="D67" s="98"/>
      <c r="E67" s="88"/>
      <c r="F67" s="75"/>
    </row>
    <row r="68" ht="15.75" customHeight="1">
      <c r="B68" s="104"/>
      <c r="C68" s="103"/>
      <c r="D68" s="98"/>
      <c r="E68" s="88"/>
      <c r="F68" s="75"/>
    </row>
    <row r="69" ht="15.75" customHeight="1">
      <c r="B69" s="104"/>
      <c r="C69" s="103"/>
      <c r="D69" s="98"/>
      <c r="E69" s="88"/>
      <c r="F69" s="75"/>
    </row>
    <row r="70" ht="15.75" customHeight="1">
      <c r="B70" s="104"/>
      <c r="C70" s="103"/>
      <c r="D70" s="98"/>
      <c r="E70" s="88"/>
      <c r="F70" s="75"/>
    </row>
    <row r="71" ht="15.75" customHeight="1">
      <c r="B71" s="104"/>
      <c r="C71" s="103"/>
      <c r="D71" s="98"/>
      <c r="E71" s="88"/>
      <c r="F71" s="75"/>
    </row>
    <row r="72" ht="15.75" customHeight="1">
      <c r="B72" s="104"/>
      <c r="C72" s="103"/>
      <c r="D72" s="98"/>
      <c r="E72" s="88"/>
      <c r="F72" s="75"/>
    </row>
    <row r="73" ht="15.75" customHeight="1">
      <c r="B73" s="104"/>
      <c r="C73" s="103"/>
      <c r="D73" s="98"/>
      <c r="E73" s="88"/>
      <c r="F73" s="75"/>
    </row>
    <row r="74" ht="15.75" customHeight="1">
      <c r="B74" s="104"/>
      <c r="C74" s="103"/>
      <c r="D74" s="98"/>
      <c r="E74" s="88"/>
      <c r="F74" s="75"/>
    </row>
    <row r="75" ht="15.75" customHeight="1">
      <c r="B75" s="104"/>
      <c r="C75" s="103"/>
      <c r="D75" s="98"/>
      <c r="E75" s="88"/>
      <c r="F75" s="75"/>
    </row>
    <row r="76" ht="15.75" customHeight="1">
      <c r="B76" s="104"/>
      <c r="C76" s="103"/>
      <c r="D76" s="98"/>
      <c r="E76" s="88"/>
      <c r="F76" s="75"/>
    </row>
    <row r="77" ht="15.75" customHeight="1">
      <c r="B77" s="104"/>
      <c r="C77" s="103"/>
      <c r="D77" s="98"/>
      <c r="E77" s="88"/>
      <c r="F77" s="75"/>
    </row>
    <row r="78" ht="15.75" customHeight="1">
      <c r="B78" s="104"/>
      <c r="C78" s="103"/>
      <c r="D78" s="98"/>
      <c r="E78" s="88"/>
      <c r="F78" s="75"/>
    </row>
    <row r="79" ht="15.75" customHeight="1">
      <c r="B79" s="104"/>
      <c r="C79" s="103"/>
      <c r="D79" s="98"/>
      <c r="E79" s="88"/>
      <c r="F79" s="75"/>
    </row>
    <row r="80" ht="15.75" customHeight="1">
      <c r="B80" s="104"/>
      <c r="C80" s="103"/>
      <c r="D80" s="98"/>
      <c r="E80" s="88"/>
      <c r="F80" s="75"/>
    </row>
    <row r="81" ht="15.75" customHeight="1">
      <c r="B81" s="104"/>
      <c r="C81" s="103"/>
      <c r="D81" s="98"/>
      <c r="E81" s="88"/>
      <c r="F81" s="75"/>
    </row>
    <row r="82" ht="15.75" customHeight="1">
      <c r="B82" s="104"/>
      <c r="C82" s="103"/>
      <c r="D82" s="98"/>
      <c r="E82" s="88"/>
      <c r="F82" s="75"/>
    </row>
    <row r="83" ht="15.75" customHeight="1">
      <c r="B83" s="104"/>
      <c r="C83" s="103"/>
      <c r="D83" s="98"/>
      <c r="E83" s="88"/>
      <c r="F83" s="75"/>
    </row>
    <row r="84" ht="15.75" customHeight="1">
      <c r="B84" s="104"/>
      <c r="C84" s="103"/>
      <c r="D84" s="98"/>
      <c r="E84" s="88"/>
      <c r="F84" s="75"/>
    </row>
    <row r="85" ht="15.75" customHeight="1">
      <c r="B85" s="104"/>
      <c r="C85" s="103"/>
      <c r="D85" s="98"/>
      <c r="E85" s="88"/>
      <c r="F85" s="75"/>
    </row>
    <row r="86" ht="15.75" customHeight="1">
      <c r="B86" s="104"/>
      <c r="C86" s="103"/>
      <c r="D86" s="98"/>
      <c r="E86" s="88"/>
      <c r="F86" s="75"/>
    </row>
    <row r="87" ht="15.75" customHeight="1">
      <c r="B87" s="104"/>
      <c r="C87" s="103"/>
      <c r="D87" s="98"/>
      <c r="E87" s="88"/>
      <c r="F87" s="75"/>
    </row>
    <row r="88" ht="15.75" customHeight="1">
      <c r="B88" s="104"/>
      <c r="C88" s="103"/>
      <c r="D88" s="98"/>
      <c r="E88" s="88"/>
      <c r="F88" s="75"/>
    </row>
    <row r="89" ht="15.75" customHeight="1">
      <c r="B89" s="104"/>
      <c r="C89" s="103"/>
      <c r="D89" s="98"/>
      <c r="E89" s="88"/>
      <c r="F89" s="75"/>
    </row>
    <row r="90" ht="15.75" customHeight="1">
      <c r="B90" s="104"/>
      <c r="C90" s="103"/>
      <c r="D90" s="98"/>
      <c r="E90" s="88"/>
      <c r="F90" s="75"/>
    </row>
    <row r="91" ht="15.75" customHeight="1">
      <c r="B91" s="104"/>
      <c r="C91" s="103"/>
      <c r="D91" s="98"/>
      <c r="E91" s="88"/>
      <c r="F91" s="75"/>
    </row>
    <row r="92" ht="15.75" customHeight="1">
      <c r="B92" s="104"/>
      <c r="C92" s="103"/>
      <c r="D92" s="98"/>
      <c r="E92" s="88"/>
      <c r="F92" s="75"/>
    </row>
    <row r="93" ht="15.75" customHeight="1">
      <c r="B93" s="104"/>
      <c r="C93" s="103"/>
      <c r="D93" s="98"/>
      <c r="E93" s="88"/>
      <c r="F93" s="75"/>
    </row>
    <row r="94" ht="15.75" customHeight="1">
      <c r="B94" s="104"/>
      <c r="C94" s="103"/>
      <c r="D94" s="98"/>
      <c r="E94" s="88"/>
      <c r="F94" s="75"/>
    </row>
    <row r="95" ht="15.75" customHeight="1">
      <c r="B95" s="104"/>
      <c r="C95" s="103"/>
      <c r="D95" s="98"/>
      <c r="E95" s="88"/>
      <c r="F95" s="75"/>
    </row>
    <row r="96" ht="15.75" customHeight="1">
      <c r="B96" s="104"/>
      <c r="C96" s="103"/>
      <c r="D96" s="98"/>
      <c r="E96" s="88"/>
      <c r="F96" s="75"/>
    </row>
    <row r="97" ht="15.75" customHeight="1">
      <c r="B97" s="104"/>
      <c r="C97" s="103" t="str">
        <f>Transacciones!G70</f>
        <v/>
      </c>
      <c r="D97" s="98" t="str">
        <f>Transacciones!F70</f>
        <v/>
      </c>
      <c r="E97" s="88"/>
      <c r="F97" s="75"/>
    </row>
    <row r="98" ht="15.75" customHeight="1">
      <c r="B98" s="104"/>
      <c r="C98" s="103" t="str">
        <f>Transacciones!G71</f>
        <v/>
      </c>
      <c r="D98" s="98" t="str">
        <f>Transacciones!F71</f>
        <v/>
      </c>
      <c r="E98" s="88"/>
      <c r="F98" s="75"/>
    </row>
    <row r="99" ht="15.75" customHeight="1">
      <c r="B99" s="104"/>
      <c r="C99" s="103" t="str">
        <f>Transacciones!G72</f>
        <v/>
      </c>
      <c r="D99" s="98" t="str">
        <f>Transacciones!F72</f>
        <v/>
      </c>
      <c r="E99" s="88"/>
      <c r="F99" s="75"/>
    </row>
    <row r="100" ht="15.75" customHeight="1">
      <c r="B100" s="104"/>
      <c r="C100" s="103" t="str">
        <f>Transacciones!G73</f>
        <v/>
      </c>
      <c r="D100" s="98"/>
      <c r="E100" s="88"/>
      <c r="F100" s="75"/>
    </row>
    <row r="101" ht="15.75" customHeight="1">
      <c r="B101" s="104"/>
      <c r="C101" s="103" t="str">
        <f>Transacciones!G74</f>
        <v/>
      </c>
      <c r="D101" s="98"/>
      <c r="E101" s="88"/>
      <c r="F101" s="75"/>
    </row>
    <row r="102" ht="15.75" customHeight="1">
      <c r="B102" s="104"/>
      <c r="C102" s="103" t="str">
        <f>Transacciones!G75</f>
        <v/>
      </c>
      <c r="D102" s="98"/>
      <c r="E102" s="88"/>
      <c r="F102" s="75"/>
    </row>
    <row r="103" ht="15.75" customHeight="1">
      <c r="B103" s="104"/>
      <c r="C103" s="103" t="str">
        <f>Transacciones!G76</f>
        <v/>
      </c>
      <c r="D103" s="98"/>
      <c r="E103" s="88"/>
      <c r="F103" s="75"/>
    </row>
    <row r="104" ht="15.75" customHeight="1">
      <c r="B104" s="104"/>
      <c r="C104" s="103" t="str">
        <f>Transacciones!G77</f>
        <v/>
      </c>
      <c r="D104" s="98"/>
      <c r="E104" s="88"/>
      <c r="F104" s="75"/>
    </row>
    <row r="105" ht="15.75" customHeight="1">
      <c r="B105" s="104"/>
      <c r="C105" s="103" t="str">
        <f>Transacciones!G78</f>
        <v/>
      </c>
      <c r="D105" s="98"/>
      <c r="E105" s="88"/>
      <c r="F105" s="75"/>
    </row>
    <row r="106" ht="15.75" customHeight="1">
      <c r="B106" s="104"/>
      <c r="C106" s="103" t="str">
        <f>Transacciones!G79</f>
        <v/>
      </c>
      <c r="D106" s="98"/>
      <c r="E106" s="88"/>
      <c r="F106" s="75"/>
    </row>
    <row r="107" ht="15.75" customHeight="1">
      <c r="B107" s="97"/>
      <c r="C107" s="103"/>
      <c r="D107" s="98"/>
      <c r="E107" s="88"/>
      <c r="F107" s="75"/>
    </row>
    <row r="108" ht="15.75" customHeight="1">
      <c r="B108" s="105" t="s">
        <v>55</v>
      </c>
      <c r="C108" s="79"/>
      <c r="D108" s="101">
        <f>SUM(D37:D107)</f>
        <v>110</v>
      </c>
      <c r="E108" s="81"/>
      <c r="F108" s="73"/>
    </row>
    <row r="109" ht="15.75" customHeight="1">
      <c r="B109" s="1"/>
      <c r="C109" s="1"/>
      <c r="D109" s="1"/>
      <c r="E109" s="1"/>
      <c r="F109" s="1"/>
    </row>
    <row r="110" ht="15.75" customHeight="1">
      <c r="B110" s="1"/>
      <c r="C110" s="83" t="s">
        <v>56</v>
      </c>
      <c r="D110" s="1"/>
      <c r="E110" s="1"/>
      <c r="F110" s="1"/>
    </row>
    <row r="111" ht="15.75" customHeight="1">
      <c r="B111" s="84" t="s">
        <v>45</v>
      </c>
      <c r="C111" s="85" t="s">
        <v>46</v>
      </c>
      <c r="D111" s="85" t="s">
        <v>37</v>
      </c>
      <c r="E111" s="85" t="s">
        <v>47</v>
      </c>
      <c r="F111" s="63" t="s">
        <v>48</v>
      </c>
    </row>
    <row r="112" ht="15.75" customHeight="1">
      <c r="B112" s="97"/>
      <c r="C112" s="106" t="s">
        <v>57</v>
      </c>
      <c r="D112" s="98"/>
      <c r="E112" s="88"/>
      <c r="F112" s="75"/>
    </row>
    <row r="113" ht="15.75" customHeight="1">
      <c r="B113" s="97"/>
      <c r="C113" s="107" t="s">
        <v>58</v>
      </c>
      <c r="D113" s="98"/>
      <c r="E113" s="88"/>
      <c r="F113" s="75"/>
    </row>
    <row r="114" ht="15.75" customHeight="1">
      <c r="B114" s="97"/>
      <c r="C114" s="105" t="s">
        <v>59</v>
      </c>
      <c r="D114" s="108"/>
      <c r="E114" s="81"/>
      <c r="F114" s="82"/>
    </row>
    <row r="115" ht="15.75" customHeight="1">
      <c r="B115" s="1"/>
      <c r="C115" s="1"/>
      <c r="D115" s="1"/>
      <c r="E115" s="1"/>
      <c r="F115" s="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</sheetData>
  <mergeCells count="10">
    <mergeCell ref="B25:C25"/>
    <mergeCell ref="B32:C32"/>
    <mergeCell ref="B108:C108"/>
    <mergeCell ref="B2:C2"/>
    <mergeCell ref="B3:C3"/>
    <mergeCell ref="B4:C4"/>
    <mergeCell ref="B5:C5"/>
    <mergeCell ref="B6:C6"/>
    <mergeCell ref="B7:C7"/>
    <mergeCell ref="D9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0"/>
  </cols>
  <sheetData>
    <row r="1" ht="15.75" customHeight="1">
      <c r="A1" s="1"/>
      <c r="B1" s="1"/>
      <c r="C1" s="109"/>
      <c r="D1" s="109"/>
      <c r="E1" s="109"/>
      <c r="F1" s="109"/>
      <c r="G1" s="109"/>
      <c r="H1" s="109"/>
      <c r="I1" s="109"/>
      <c r="J1" s="109"/>
      <c r="K1" s="109"/>
    </row>
    <row r="2" ht="15.75" customHeight="1">
      <c r="A2" s="1"/>
      <c r="B2" s="109" t="s">
        <v>60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5.75" customHeight="1">
      <c r="A4" s="1"/>
      <c r="B4" s="110" t="s">
        <v>1</v>
      </c>
      <c r="C4" s="4"/>
      <c r="D4" s="4"/>
      <c r="E4" s="5"/>
      <c r="F4" s="110" t="s">
        <v>2</v>
      </c>
      <c r="G4" s="5"/>
      <c r="H4" s="1"/>
      <c r="I4" s="1"/>
      <c r="J4" s="1"/>
    </row>
    <row r="5" ht="15.75" customHeight="1">
      <c r="A5" s="1"/>
      <c r="B5" s="6" t="s">
        <v>3</v>
      </c>
      <c r="C5" s="4"/>
      <c r="D5" s="4"/>
      <c r="E5" s="5"/>
      <c r="F5" s="7" t="s">
        <v>4</v>
      </c>
      <c r="G5" s="5"/>
      <c r="H5" s="1"/>
      <c r="I5" s="1"/>
      <c r="J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"/>
      <c r="B8" s="111" t="s">
        <v>61</v>
      </c>
      <c r="C8" s="112" t="s">
        <v>62</v>
      </c>
      <c r="D8" s="112" t="s">
        <v>63</v>
      </c>
      <c r="E8" s="112" t="s">
        <v>64</v>
      </c>
      <c r="F8" s="112" t="s">
        <v>65</v>
      </c>
      <c r="G8" s="112" t="s">
        <v>66</v>
      </c>
      <c r="H8" s="112" t="s">
        <v>67</v>
      </c>
      <c r="I8" s="1"/>
      <c r="J8" s="1"/>
      <c r="K8" s="1"/>
    </row>
    <row r="9" ht="15.75" customHeight="1">
      <c r="A9" s="1"/>
      <c r="B9" s="113">
        <f>Transacciones!B10</f>
        <v>1</v>
      </c>
      <c r="C9" s="114">
        <f>Transacciones!C10</f>
        <v>46026</v>
      </c>
      <c r="D9" s="113"/>
      <c r="E9" s="113" t="str">
        <f>Transacciones!G10</f>
        <v>Ingreso por pago de fee</v>
      </c>
      <c r="F9" s="113"/>
      <c r="G9" s="115">
        <f>Transacciones!F10</f>
        <v>10</v>
      </c>
      <c r="H9" s="113"/>
      <c r="I9" s="1"/>
      <c r="J9" s="1"/>
      <c r="K9" s="1"/>
    </row>
    <row r="10" ht="15.75" customHeight="1">
      <c r="A10" s="1"/>
      <c r="B10" s="113">
        <f>Transacciones!B11</f>
        <v>2</v>
      </c>
      <c r="C10" s="114">
        <f>Transacciones!C11</f>
        <v>46026</v>
      </c>
      <c r="D10" s="113" t="s">
        <v>68</v>
      </c>
      <c r="E10" s="113" t="str">
        <f>Transacciones!G11</f>
        <v>Ingreso por pago de fee</v>
      </c>
      <c r="F10" s="113"/>
      <c r="G10" s="115">
        <f>Transacciones!F11</f>
        <v>10</v>
      </c>
      <c r="H10" s="113"/>
      <c r="I10" s="1"/>
      <c r="J10" s="1"/>
      <c r="K10" s="1"/>
    </row>
    <row r="11" ht="15.75" customHeight="1">
      <c r="A11" s="1"/>
      <c r="B11" s="113">
        <f>Transacciones!B12</f>
        <v>3</v>
      </c>
      <c r="C11" s="114">
        <f>Transacciones!C12</f>
        <v>46057</v>
      </c>
      <c r="D11" s="113" t="s">
        <v>68</v>
      </c>
      <c r="E11" s="113" t="str">
        <f>Transacciones!G12</f>
        <v>Ingreso por pago de fee</v>
      </c>
      <c r="F11" s="113"/>
      <c r="G11" s="115">
        <f>Transacciones!F12</f>
        <v>10</v>
      </c>
      <c r="H11" s="113"/>
      <c r="I11" s="1"/>
      <c r="J11" s="1"/>
      <c r="K11" s="1"/>
    </row>
    <row r="12" ht="15.75" customHeight="1">
      <c r="A12" s="1"/>
      <c r="B12" s="113">
        <f>Transacciones!B13</f>
        <v>4</v>
      </c>
      <c r="C12" s="114">
        <f>Transacciones!C13</f>
        <v>46207</v>
      </c>
      <c r="D12" s="113" t="s">
        <v>68</v>
      </c>
      <c r="E12" s="113" t="str">
        <f>Transacciones!G13</f>
        <v>Ingreso por pago de fee</v>
      </c>
      <c r="F12" s="113"/>
      <c r="G12" s="115">
        <f>Transacciones!F13</f>
        <v>10</v>
      </c>
      <c r="H12" s="113"/>
      <c r="I12" s="1"/>
      <c r="J12" s="1"/>
      <c r="K12" s="1"/>
    </row>
    <row r="13" ht="15.75" customHeight="1">
      <c r="A13" s="1"/>
      <c r="B13" s="113">
        <f>Transacciones!B14</f>
        <v>5</v>
      </c>
      <c r="C13" s="114">
        <f>Transacciones!C14</f>
        <v>46207</v>
      </c>
      <c r="D13" s="113" t="s">
        <v>68</v>
      </c>
      <c r="E13" s="113" t="str">
        <f>Transacciones!G14</f>
        <v>Ingreso por pago de fee</v>
      </c>
      <c r="F13" s="113"/>
      <c r="G13" s="115">
        <f>Transacciones!F14</f>
        <v>10</v>
      </c>
      <c r="H13" s="113"/>
      <c r="I13" s="1"/>
      <c r="J13" s="1"/>
      <c r="K13" s="1"/>
    </row>
    <row r="14" ht="15.75" customHeight="1">
      <c r="A14" s="1"/>
      <c r="B14" s="113">
        <f>Transacciones!B15</f>
        <v>6</v>
      </c>
      <c r="C14" s="114">
        <f>Transacciones!C15</f>
        <v>46238</v>
      </c>
      <c r="D14" s="113" t="s">
        <v>68</v>
      </c>
      <c r="E14" s="113" t="str">
        <f>Transacciones!G15</f>
        <v>Ingreso por pago de fee</v>
      </c>
      <c r="F14" s="113"/>
      <c r="G14" s="115">
        <f>Transacciones!F15</f>
        <v>10</v>
      </c>
      <c r="H14" s="113"/>
      <c r="I14" s="1"/>
      <c r="J14" s="1"/>
      <c r="K14" s="1"/>
    </row>
    <row r="15" ht="15.75" customHeight="1">
      <c r="A15" s="1"/>
      <c r="B15" s="113">
        <f>Transacciones!B16</f>
        <v>7</v>
      </c>
      <c r="C15" s="114">
        <f>Transacciones!C16</f>
        <v>46238</v>
      </c>
      <c r="D15" s="113" t="s">
        <v>68</v>
      </c>
      <c r="E15" s="113" t="str">
        <f>Transacciones!G16</f>
        <v>Ingreso por pago de fee</v>
      </c>
      <c r="F15" s="113"/>
      <c r="G15" s="115">
        <f>Transacciones!F16</f>
        <v>10</v>
      </c>
      <c r="H15" s="113"/>
      <c r="I15" s="1"/>
      <c r="J15" s="1"/>
      <c r="K15" s="1"/>
    </row>
    <row r="16" ht="15.75" customHeight="1">
      <c r="A16" s="1"/>
      <c r="B16" s="113">
        <f>Transacciones!B17</f>
        <v>8</v>
      </c>
      <c r="C16" s="113" t="str">
        <f>Transacciones!C17</f>
        <v>14/04/2026</v>
      </c>
      <c r="D16" s="113" t="s">
        <v>68</v>
      </c>
      <c r="E16" s="113" t="str">
        <f>Transacciones!G17</f>
        <v>Traslado Interbank a BCP</v>
      </c>
      <c r="F16" s="113"/>
      <c r="G16" s="116"/>
      <c r="H16" s="115">
        <f>Transacciones!F17</f>
        <v>0.05</v>
      </c>
      <c r="I16" s="1"/>
      <c r="J16" s="1"/>
      <c r="K16" s="1"/>
    </row>
    <row r="17" ht="15.75" customHeight="1">
      <c r="A17" s="1"/>
      <c r="B17" s="113">
        <f>Transacciones!B18</f>
        <v>9</v>
      </c>
      <c r="C17" s="113" t="str">
        <f>Transacciones!C18</f>
        <v>16/04/2026</v>
      </c>
      <c r="D17" s="113"/>
      <c r="E17" s="113" t="str">
        <f>Transacciones!G18</f>
        <v>BCG capacitacion en la UP </v>
      </c>
      <c r="F17" s="113"/>
      <c r="G17" s="116"/>
      <c r="H17" s="115">
        <f>Transacciones!F18</f>
        <v>54.83</v>
      </c>
      <c r="I17" s="1"/>
      <c r="J17" s="1"/>
      <c r="K17" s="1"/>
    </row>
    <row r="18" ht="15.75" customHeight="1">
      <c r="A18" s="1"/>
      <c r="B18" s="113">
        <f>Transacciones!B19</f>
        <v>10</v>
      </c>
      <c r="C18" s="113" t="str">
        <f>Transacciones!C19</f>
        <v>19/04/2026</v>
      </c>
      <c r="D18" s="113"/>
      <c r="E18" s="113" t="str">
        <f>Transacciones!G19</f>
        <v>Ingreso por pago de 2 fee</v>
      </c>
      <c r="F18" s="113"/>
      <c r="G18" s="115">
        <f>Transacciones!F19</f>
        <v>20</v>
      </c>
      <c r="H18" s="113"/>
      <c r="I18" s="1"/>
      <c r="J18" s="1"/>
      <c r="K18" s="1"/>
    </row>
    <row r="19" ht="15.75" customHeight="1">
      <c r="A19" s="1"/>
      <c r="B19" s="113">
        <f>Transacciones!B20</f>
        <v>11</v>
      </c>
      <c r="C19" s="113" t="str">
        <f>Transacciones!C20</f>
        <v>22/04/2026</v>
      </c>
      <c r="D19" s="113"/>
      <c r="E19" s="113" t="str">
        <f>Transacciones!G20</f>
        <v>Ingreso por pago de fee</v>
      </c>
      <c r="F19" s="113"/>
      <c r="G19" s="115">
        <f>Transacciones!F20</f>
        <v>10</v>
      </c>
      <c r="H19" s="113"/>
      <c r="I19" s="1"/>
      <c r="J19" s="1"/>
      <c r="K19" s="1"/>
    </row>
    <row r="20" ht="15.75" customHeight="1">
      <c r="A20" s="1"/>
      <c r="B20" s="113">
        <f>Transacciones!B21</f>
        <v>12</v>
      </c>
      <c r="C20" s="113" t="str">
        <f>Transacciones!C21</f>
        <v>25/04/2026</v>
      </c>
      <c r="D20" s="113"/>
      <c r="E20" s="113" t="str">
        <f>Transacciones!G21</f>
        <v>Reserva local pizza (1ra Integración) </v>
      </c>
      <c r="F20" s="113"/>
      <c r="H20" s="115">
        <f>Transacciones!F21</f>
        <v>20</v>
      </c>
      <c r="I20" s="1"/>
      <c r="J20" s="1"/>
      <c r="K20" s="1"/>
    </row>
    <row r="21" ht="15.75" customHeight="1">
      <c r="A21" s="1"/>
      <c r="B21" s="113">
        <f>Transacciones!B22</f>
        <v>13</v>
      </c>
      <c r="C21" s="113" t="str">
        <f>Transacciones!C22</f>
        <v>27/04/2026</v>
      </c>
      <c r="D21" s="113"/>
      <c r="E21" s="113" t="str">
        <f>Transacciones!G22</f>
        <v>Ingreso por pago de fee</v>
      </c>
      <c r="F21" s="113"/>
      <c r="G21" s="115">
        <f>Transacciones!F22</f>
        <v>10</v>
      </c>
      <c r="H21" s="113"/>
      <c r="I21" s="1"/>
      <c r="J21" s="1"/>
      <c r="K21" s="1"/>
    </row>
    <row r="22" ht="15.75" customHeight="1">
      <c r="A22" s="1"/>
      <c r="B22" s="113" t="str">
        <f>Transacciones!B23</f>
        <v/>
      </c>
      <c r="C22" s="117" t="str">
        <f>Transacciones!C23</f>
        <v/>
      </c>
      <c r="D22" s="113"/>
      <c r="E22" s="113" t="str">
        <f>Transacciones!G23</f>
        <v/>
      </c>
      <c r="F22" s="113"/>
      <c r="G22" s="118"/>
      <c r="H22" s="113"/>
      <c r="I22" s="1"/>
      <c r="J22" s="1"/>
      <c r="K22" s="1"/>
    </row>
    <row r="23" ht="15.75" customHeight="1">
      <c r="A23" s="1"/>
      <c r="B23" s="113" t="str">
        <f>Transacciones!B24</f>
        <v/>
      </c>
      <c r="C23" s="117" t="str">
        <f>Transacciones!C24</f>
        <v/>
      </c>
      <c r="D23" s="113"/>
      <c r="E23" s="113" t="str">
        <f>Transacciones!G24</f>
        <v/>
      </c>
      <c r="F23" s="113"/>
      <c r="G23" s="118"/>
      <c r="H23" s="113"/>
      <c r="I23" s="1"/>
      <c r="J23" s="1"/>
      <c r="K23" s="1"/>
    </row>
    <row r="24" ht="15.75" customHeight="1">
      <c r="A24" s="1"/>
      <c r="B24" s="113" t="str">
        <f>Transacciones!B25</f>
        <v/>
      </c>
      <c r="C24" s="117" t="str">
        <f>Transacciones!C25</f>
        <v/>
      </c>
      <c r="D24" s="113"/>
      <c r="E24" s="113" t="str">
        <f>Transacciones!G24</f>
        <v/>
      </c>
      <c r="F24" s="113"/>
      <c r="G24" s="118"/>
      <c r="H24" s="113"/>
      <c r="I24" s="1"/>
      <c r="J24" s="1"/>
      <c r="K24" s="1"/>
    </row>
    <row r="25" ht="15.75" customHeight="1">
      <c r="A25" s="1"/>
      <c r="B25" s="113" t="str">
        <f>Transacciones!B26</f>
        <v/>
      </c>
      <c r="C25" s="117" t="str">
        <f>Transacciones!C26</f>
        <v/>
      </c>
      <c r="D25" s="113"/>
      <c r="E25" s="113" t="str">
        <f>Transacciones!G25</f>
        <v/>
      </c>
      <c r="F25" s="113"/>
      <c r="G25" s="116"/>
      <c r="H25" s="113"/>
      <c r="I25" s="1"/>
      <c r="J25" s="1"/>
      <c r="K25" s="1"/>
    </row>
    <row r="26" ht="15.75" customHeight="1">
      <c r="A26" s="1"/>
      <c r="B26" s="113" t="str">
        <f>Transacciones!B27</f>
        <v/>
      </c>
      <c r="C26" s="117" t="str">
        <f>Transacciones!C27</f>
        <v/>
      </c>
      <c r="D26" s="113"/>
      <c r="E26" s="113" t="str">
        <f>Transacciones!G26</f>
        <v/>
      </c>
      <c r="F26" s="113"/>
      <c r="G26" s="116"/>
      <c r="H26" s="113"/>
      <c r="I26" s="1"/>
      <c r="J26" s="1"/>
      <c r="K26" s="1"/>
    </row>
    <row r="27" ht="15.75" customHeight="1">
      <c r="A27" s="1"/>
      <c r="B27" s="113" t="str">
        <f>Transacciones!B28</f>
        <v/>
      </c>
      <c r="C27" s="117" t="str">
        <f>Transacciones!C28</f>
        <v/>
      </c>
      <c r="D27" s="113"/>
      <c r="E27" s="113" t="str">
        <f>Transacciones!G27</f>
        <v/>
      </c>
      <c r="F27" s="113"/>
      <c r="G27" s="116"/>
      <c r="H27" s="113"/>
      <c r="I27" s="1"/>
      <c r="J27" s="1"/>
      <c r="K27" s="1"/>
    </row>
    <row r="28" ht="15.75" customHeight="1">
      <c r="A28" s="1"/>
      <c r="B28" s="113" t="str">
        <f>Transacciones!B29</f>
        <v/>
      </c>
      <c r="C28" s="119" t="str">
        <f>Transacciones!C28</f>
        <v/>
      </c>
      <c r="D28" s="113"/>
      <c r="E28" s="113" t="str">
        <f>Transacciones!G28</f>
        <v/>
      </c>
      <c r="F28" s="113"/>
      <c r="G28" s="116"/>
      <c r="H28" s="113"/>
      <c r="I28" s="1"/>
      <c r="J28" s="1"/>
      <c r="K28" s="1"/>
    </row>
    <row r="29" ht="15.75" customHeight="1">
      <c r="A29" s="1"/>
      <c r="B29" s="113" t="str">
        <f>Transacciones!B30</f>
        <v/>
      </c>
      <c r="C29" s="119" t="str">
        <f>Transacciones!C29</f>
        <v/>
      </c>
      <c r="D29" s="113"/>
      <c r="E29" s="113" t="str">
        <f>Transacciones!G29</f>
        <v/>
      </c>
      <c r="F29" s="113"/>
      <c r="G29" s="118"/>
      <c r="H29" s="113"/>
      <c r="I29" s="1"/>
      <c r="J29" s="1"/>
      <c r="K29" s="1"/>
    </row>
    <row r="30" ht="15.75" customHeight="1">
      <c r="A30" s="1"/>
      <c r="B30" s="113" t="str">
        <f>Transacciones!B31</f>
        <v/>
      </c>
      <c r="C30" s="119" t="str">
        <f>Transacciones!C30</f>
        <v/>
      </c>
      <c r="D30" s="113"/>
      <c r="E30" s="113" t="str">
        <f>Transacciones!G30</f>
        <v/>
      </c>
      <c r="F30" s="113"/>
      <c r="G30" s="118"/>
      <c r="H30" s="113"/>
      <c r="I30" s="1"/>
      <c r="J30" s="1"/>
      <c r="K30" s="1"/>
    </row>
    <row r="31" ht="15.75" customHeight="1">
      <c r="A31" s="1"/>
      <c r="B31" s="113" t="str">
        <f>Transacciones!B32</f>
        <v/>
      </c>
      <c r="C31" s="119" t="str">
        <f>Transacciones!C31</f>
        <v/>
      </c>
      <c r="D31" s="113"/>
      <c r="E31" s="113" t="str">
        <f>Transacciones!G31</f>
        <v/>
      </c>
      <c r="F31" s="113"/>
      <c r="G31" s="118"/>
      <c r="H31" s="113"/>
      <c r="I31" s="1"/>
      <c r="J31" s="1"/>
      <c r="K31" s="1"/>
    </row>
    <row r="32" ht="15.75" customHeight="1">
      <c r="A32" s="1"/>
      <c r="B32" s="113" t="str">
        <f>Transacciones!B33</f>
        <v/>
      </c>
      <c r="C32" s="119" t="str">
        <f>Transacciones!C32</f>
        <v/>
      </c>
      <c r="D32" s="113"/>
      <c r="E32" s="113" t="str">
        <f>Transacciones!G32</f>
        <v/>
      </c>
      <c r="F32" s="113"/>
      <c r="G32" s="118"/>
      <c r="H32" s="113"/>
      <c r="I32" s="1"/>
      <c r="J32" s="1"/>
      <c r="K32" s="1"/>
    </row>
    <row r="33" ht="15.75" customHeight="1">
      <c r="A33" s="1"/>
      <c r="B33" s="113" t="str">
        <f>Transacciones!B34</f>
        <v/>
      </c>
      <c r="C33" s="119" t="str">
        <f>Transacciones!C33</f>
        <v/>
      </c>
      <c r="D33" s="113"/>
      <c r="E33" s="113" t="str">
        <f>Transacciones!G33</f>
        <v/>
      </c>
      <c r="F33" s="113"/>
      <c r="G33" s="116"/>
      <c r="H33" s="113"/>
      <c r="I33" s="1"/>
      <c r="J33" s="1"/>
      <c r="K33" s="1"/>
    </row>
    <row r="34" ht="15.75" customHeight="1">
      <c r="A34" s="1"/>
      <c r="B34" s="113" t="str">
        <f>Transacciones!B35</f>
        <v/>
      </c>
      <c r="C34" s="119" t="str">
        <f>Transacciones!C34</f>
        <v/>
      </c>
      <c r="D34" s="113"/>
      <c r="E34" s="113" t="str">
        <f>Transacciones!G34</f>
        <v/>
      </c>
      <c r="F34" s="113"/>
      <c r="G34" s="116"/>
      <c r="H34" s="113"/>
      <c r="I34" s="1"/>
      <c r="J34" s="1"/>
      <c r="K34" s="1"/>
    </row>
    <row r="35" ht="15.75" customHeight="1">
      <c r="A35" s="1"/>
      <c r="B35" s="113" t="str">
        <f>Transacciones!B36</f>
        <v/>
      </c>
      <c r="C35" s="119" t="str">
        <f>Transacciones!C35</f>
        <v/>
      </c>
      <c r="D35" s="113"/>
      <c r="E35" s="113" t="str">
        <f>Transacciones!G35</f>
        <v/>
      </c>
      <c r="F35" s="113"/>
      <c r="G35" s="116"/>
      <c r="H35" s="113"/>
      <c r="I35" s="1"/>
      <c r="J35" s="1"/>
      <c r="K35" s="1"/>
    </row>
    <row r="36" ht="15.75" customHeight="1">
      <c r="A36" s="1"/>
      <c r="B36" s="113" t="str">
        <f>Transacciones!B37</f>
        <v/>
      </c>
      <c r="C36" s="119" t="str">
        <f>Transacciones!C36</f>
        <v/>
      </c>
      <c r="D36" s="113"/>
      <c r="E36" s="113" t="str">
        <f>Transacciones!G36</f>
        <v/>
      </c>
      <c r="F36" s="113"/>
      <c r="G36" s="116"/>
      <c r="H36" s="113"/>
      <c r="I36" s="1"/>
      <c r="J36" s="1"/>
      <c r="K36" s="1"/>
    </row>
    <row r="37" ht="15.75" customHeight="1">
      <c r="A37" s="1"/>
      <c r="B37" s="113" t="str">
        <f>Transacciones!B38</f>
        <v/>
      </c>
      <c r="C37" s="119" t="str">
        <f>Transacciones!C37</f>
        <v/>
      </c>
      <c r="D37" s="113"/>
      <c r="E37" s="113" t="str">
        <f>Transacciones!G37</f>
        <v/>
      </c>
      <c r="F37" s="113"/>
      <c r="G37" s="118"/>
      <c r="H37" s="113"/>
      <c r="I37" s="1"/>
      <c r="J37" s="1"/>
      <c r="K37" s="1"/>
    </row>
    <row r="38" ht="15.75" customHeight="1">
      <c r="A38" s="1"/>
      <c r="B38" s="113" t="str">
        <f>Transacciones!B39</f>
        <v/>
      </c>
      <c r="C38" s="119" t="str">
        <f>Transacciones!C38</f>
        <v/>
      </c>
      <c r="D38" s="113"/>
      <c r="E38" s="113" t="str">
        <f>Transacciones!G38</f>
        <v/>
      </c>
      <c r="F38" s="113"/>
      <c r="G38" s="118"/>
      <c r="H38" s="113"/>
      <c r="I38" s="1"/>
      <c r="J38" s="1"/>
      <c r="K38" s="1"/>
    </row>
    <row r="39" ht="15.75" customHeight="1">
      <c r="A39" s="1"/>
      <c r="B39" s="113" t="str">
        <f>Transacciones!B40</f>
        <v/>
      </c>
      <c r="C39" s="119" t="str">
        <f>Transacciones!C39</f>
        <v/>
      </c>
      <c r="D39" s="113"/>
      <c r="E39" s="113" t="str">
        <f>Transacciones!G39</f>
        <v/>
      </c>
      <c r="F39" s="113"/>
      <c r="G39" s="118"/>
      <c r="H39" s="113"/>
      <c r="I39" s="1"/>
      <c r="J39" s="1"/>
      <c r="K39" s="1"/>
    </row>
    <row r="40" ht="15.75" customHeight="1">
      <c r="A40" s="1"/>
      <c r="B40" s="113" t="str">
        <f>Transacciones!B41</f>
        <v/>
      </c>
      <c r="C40" s="119" t="str">
        <f>Transacciones!C40</f>
        <v/>
      </c>
      <c r="D40" s="113"/>
      <c r="E40" s="113" t="str">
        <f>Transacciones!G40</f>
        <v/>
      </c>
      <c r="F40" s="113"/>
      <c r="G40" s="118"/>
      <c r="H40" s="113"/>
      <c r="I40" s="1"/>
      <c r="J40" s="1"/>
      <c r="K40" s="1"/>
    </row>
    <row r="41" ht="15.75" customHeight="1">
      <c r="A41" s="1"/>
      <c r="B41" s="113" t="str">
        <f>Transacciones!B42</f>
        <v/>
      </c>
      <c r="C41" s="119" t="str">
        <f>Transacciones!C41</f>
        <v/>
      </c>
      <c r="D41" s="113"/>
      <c r="E41" s="113" t="str">
        <f>Transacciones!G41</f>
        <v/>
      </c>
      <c r="F41" s="113"/>
      <c r="G41" s="116"/>
      <c r="H41" s="113"/>
      <c r="I41" s="1"/>
      <c r="J41" s="1"/>
      <c r="K41" s="1"/>
    </row>
    <row r="42" ht="15.75" customHeight="1">
      <c r="A42" s="1"/>
      <c r="B42" s="113" t="str">
        <f>Transacciones!B43</f>
        <v/>
      </c>
      <c r="C42" s="119" t="str">
        <f>Transacciones!C42</f>
        <v/>
      </c>
      <c r="D42" s="113"/>
      <c r="E42" s="113" t="str">
        <f>Transacciones!G42</f>
        <v/>
      </c>
      <c r="F42" s="113"/>
      <c r="G42" s="116"/>
      <c r="H42" s="113"/>
      <c r="I42" s="1"/>
      <c r="J42" s="1"/>
      <c r="K42" s="1"/>
    </row>
    <row r="43" ht="15.75" customHeight="1">
      <c r="A43" s="1"/>
      <c r="B43" s="113" t="str">
        <f>Transacciones!B44</f>
        <v/>
      </c>
      <c r="C43" s="119" t="str">
        <f>Transacciones!C43</f>
        <v/>
      </c>
      <c r="D43" s="113"/>
      <c r="E43" s="113" t="str">
        <f>Transacciones!G43</f>
        <v/>
      </c>
      <c r="F43" s="113"/>
      <c r="G43" s="116"/>
      <c r="H43" s="113"/>
      <c r="I43" s="1"/>
      <c r="J43" s="1"/>
      <c r="K43" s="1"/>
    </row>
    <row r="44" ht="15.75" customHeight="1">
      <c r="A44" s="1"/>
      <c r="B44" s="113" t="str">
        <f>Transacciones!B45</f>
        <v/>
      </c>
      <c r="C44" s="119" t="str">
        <f>Transacciones!C44</f>
        <v/>
      </c>
      <c r="D44" s="113"/>
      <c r="E44" s="113" t="str">
        <f>Transacciones!G44</f>
        <v/>
      </c>
      <c r="F44" s="113"/>
      <c r="G44" s="116"/>
      <c r="H44" s="113"/>
      <c r="I44" s="1"/>
      <c r="J44" s="1"/>
      <c r="K44" s="1"/>
    </row>
    <row r="45" ht="15.75" customHeight="1">
      <c r="A45" s="1"/>
      <c r="B45" s="113" t="str">
        <f>Transacciones!B46</f>
        <v/>
      </c>
      <c r="C45" s="119" t="str">
        <f>Transacciones!C45</f>
        <v/>
      </c>
      <c r="D45" s="113"/>
      <c r="E45" s="113" t="str">
        <f>Transacciones!G45</f>
        <v/>
      </c>
      <c r="F45" s="113"/>
      <c r="G45" s="118"/>
      <c r="H45" s="113"/>
      <c r="I45" s="1"/>
      <c r="J45" s="1"/>
      <c r="K45" s="1"/>
    </row>
    <row r="46" ht="15.75" customHeight="1">
      <c r="A46" s="1"/>
      <c r="B46" s="113" t="str">
        <f>Transacciones!B47</f>
        <v/>
      </c>
      <c r="C46" s="119" t="str">
        <f>Transacciones!C46</f>
        <v/>
      </c>
      <c r="D46" s="113"/>
      <c r="E46" s="113" t="str">
        <f>Transacciones!G46</f>
        <v/>
      </c>
      <c r="F46" s="113"/>
      <c r="G46" s="118"/>
      <c r="H46" s="113"/>
      <c r="I46" s="1"/>
      <c r="J46" s="1"/>
      <c r="K46" s="1"/>
    </row>
    <row r="47" ht="15.75" customHeight="1">
      <c r="A47" s="1"/>
      <c r="B47" s="113" t="str">
        <f>Transacciones!B48</f>
        <v/>
      </c>
      <c r="C47" s="119" t="str">
        <f>Transacciones!C47</f>
        <v/>
      </c>
      <c r="D47" s="113"/>
      <c r="E47" s="113" t="str">
        <f>Transacciones!G47</f>
        <v/>
      </c>
      <c r="F47" s="113"/>
      <c r="G47" s="118"/>
      <c r="H47" s="113"/>
      <c r="I47" s="1"/>
      <c r="J47" s="1"/>
      <c r="K47" s="1"/>
    </row>
    <row r="48" ht="15.75" customHeight="1">
      <c r="A48" s="1"/>
      <c r="B48" s="113" t="str">
        <f>Transacciones!B49</f>
        <v/>
      </c>
      <c r="C48" s="119" t="str">
        <f>Transacciones!C48</f>
        <v/>
      </c>
      <c r="D48" s="113"/>
      <c r="E48" s="113" t="str">
        <f>Transacciones!G48</f>
        <v/>
      </c>
      <c r="F48" s="113"/>
      <c r="G48" s="118"/>
      <c r="H48" s="113"/>
      <c r="I48" s="1"/>
      <c r="J48" s="1"/>
      <c r="K48" s="1"/>
    </row>
    <row r="49" ht="15.75" customHeight="1">
      <c r="A49" s="1"/>
      <c r="B49" s="113" t="str">
        <f>Transacciones!B50</f>
        <v/>
      </c>
      <c r="C49" s="119" t="str">
        <f>Transacciones!C49</f>
        <v/>
      </c>
      <c r="D49" s="113"/>
      <c r="E49" s="113" t="str">
        <f>Transacciones!G49</f>
        <v/>
      </c>
      <c r="F49" s="113"/>
      <c r="G49" s="116"/>
      <c r="H49" s="113"/>
      <c r="I49" s="1"/>
      <c r="J49" s="1"/>
      <c r="K49" s="1"/>
    </row>
    <row r="50" ht="15.75" customHeight="1">
      <c r="A50" s="1"/>
      <c r="B50" s="113" t="str">
        <f>Transacciones!B51</f>
        <v/>
      </c>
      <c r="C50" s="119" t="str">
        <f>Transacciones!C50</f>
        <v/>
      </c>
      <c r="D50" s="113"/>
      <c r="E50" s="113" t="str">
        <f>Transacciones!G50</f>
        <v/>
      </c>
      <c r="F50" s="113"/>
      <c r="G50" s="116"/>
      <c r="H50" s="113"/>
      <c r="I50" s="1"/>
      <c r="J50" s="1"/>
      <c r="K50" s="1"/>
    </row>
    <row r="51" ht="15.75" customHeight="1">
      <c r="A51" s="1"/>
      <c r="B51" s="113" t="str">
        <f>Transacciones!B52</f>
        <v/>
      </c>
      <c r="C51" s="119" t="str">
        <f>Transacciones!C51</f>
        <v/>
      </c>
      <c r="D51" s="113"/>
      <c r="E51" s="113" t="str">
        <f>Transacciones!G51</f>
        <v/>
      </c>
      <c r="F51" s="113"/>
      <c r="G51" s="116"/>
      <c r="H51" s="113"/>
      <c r="I51" s="1"/>
      <c r="J51" s="1"/>
      <c r="K51" s="1"/>
    </row>
    <row r="52" ht="15.75" customHeight="1">
      <c r="A52" s="1"/>
      <c r="B52" s="113" t="str">
        <f>Transacciones!B53</f>
        <v/>
      </c>
      <c r="C52" s="119" t="str">
        <f>Transacciones!C52</f>
        <v/>
      </c>
      <c r="D52" s="113"/>
      <c r="E52" s="113" t="str">
        <f>Transacciones!G52</f>
        <v/>
      </c>
      <c r="F52" s="113"/>
      <c r="G52" s="116"/>
      <c r="H52" s="113"/>
      <c r="I52" s="1"/>
      <c r="J52" s="1"/>
      <c r="K52" s="1"/>
    </row>
    <row r="53" ht="15.75" customHeight="1">
      <c r="A53" s="1"/>
      <c r="B53" s="113" t="str">
        <f>Transacciones!B54</f>
        <v/>
      </c>
      <c r="C53" s="119" t="str">
        <f>Transacciones!C53</f>
        <v/>
      </c>
      <c r="D53" s="113"/>
      <c r="E53" s="113" t="str">
        <f>Transacciones!G53</f>
        <v/>
      </c>
      <c r="F53" s="113"/>
      <c r="G53" s="118"/>
      <c r="H53" s="113"/>
      <c r="I53" s="1"/>
      <c r="J53" s="1"/>
      <c r="K53" s="1"/>
    </row>
    <row r="54" ht="15.75" customHeight="1">
      <c r="A54" s="1"/>
      <c r="B54" s="113" t="str">
        <f>Transacciones!B55</f>
        <v/>
      </c>
      <c r="C54" s="119" t="str">
        <f>Transacciones!C54</f>
        <v/>
      </c>
      <c r="D54" s="113"/>
      <c r="E54" s="113" t="str">
        <f>Transacciones!G54</f>
        <v/>
      </c>
      <c r="F54" s="113"/>
      <c r="G54" s="118"/>
      <c r="H54" s="113"/>
      <c r="I54" s="1"/>
      <c r="J54" s="1"/>
      <c r="K54" s="1"/>
    </row>
    <row r="55" ht="15.75" customHeight="1">
      <c r="A55" s="1"/>
      <c r="B55" s="113" t="str">
        <f>Transacciones!B56</f>
        <v/>
      </c>
      <c r="C55" s="119" t="str">
        <f>Transacciones!C55</f>
        <v/>
      </c>
      <c r="D55" s="113"/>
      <c r="E55" s="113" t="str">
        <f>Transacciones!G55</f>
        <v/>
      </c>
      <c r="F55" s="113"/>
      <c r="G55" s="118"/>
      <c r="H55" s="113"/>
      <c r="I55" s="1"/>
      <c r="J55" s="1"/>
      <c r="K55" s="1"/>
    </row>
    <row r="56" ht="15.75" customHeight="1">
      <c r="A56" s="1"/>
      <c r="B56" s="113" t="str">
        <f>Transacciones!B57</f>
        <v/>
      </c>
      <c r="C56" s="119" t="str">
        <f>Transacciones!C56</f>
        <v/>
      </c>
      <c r="D56" s="113"/>
      <c r="E56" s="113" t="str">
        <f>Transacciones!G56</f>
        <v/>
      </c>
      <c r="F56" s="113"/>
      <c r="G56" s="118"/>
      <c r="H56" s="113"/>
      <c r="I56" s="1"/>
      <c r="J56" s="1"/>
      <c r="K56" s="1"/>
    </row>
    <row r="57" ht="15.75" customHeight="1">
      <c r="A57" s="1"/>
      <c r="B57" s="113" t="str">
        <f>Transacciones!B58</f>
        <v/>
      </c>
      <c r="C57" s="119" t="str">
        <f>Transacciones!C57</f>
        <v/>
      </c>
      <c r="D57" s="113"/>
      <c r="E57" s="113" t="str">
        <f>Transacciones!G57</f>
        <v/>
      </c>
      <c r="F57" s="113"/>
      <c r="G57" s="116"/>
      <c r="H57" s="113"/>
      <c r="I57" s="1"/>
      <c r="J57" s="1"/>
      <c r="K57" s="1"/>
    </row>
    <row r="58" ht="15.75" customHeight="1">
      <c r="A58" s="1"/>
      <c r="B58" s="113" t="str">
        <f>Transacciones!B59</f>
        <v/>
      </c>
      <c r="C58" s="119" t="str">
        <f>Transacciones!C58</f>
        <v/>
      </c>
      <c r="D58" s="113"/>
      <c r="E58" s="113" t="str">
        <f>Transacciones!G58</f>
        <v/>
      </c>
      <c r="F58" s="113"/>
      <c r="G58" s="116"/>
      <c r="H58" s="113"/>
      <c r="I58" s="1"/>
      <c r="J58" s="1"/>
      <c r="K58" s="1"/>
    </row>
    <row r="59" ht="15.75" customHeight="1">
      <c r="A59" s="1"/>
      <c r="B59" s="113" t="str">
        <f>Transacciones!B60</f>
        <v/>
      </c>
      <c r="C59" s="119" t="str">
        <f>Transacciones!C59</f>
        <v/>
      </c>
      <c r="D59" s="113"/>
      <c r="E59" s="113" t="str">
        <f>Transacciones!G59</f>
        <v/>
      </c>
      <c r="F59" s="113"/>
      <c r="G59" s="116"/>
      <c r="H59" s="113"/>
      <c r="I59" s="1"/>
      <c r="J59" s="1"/>
      <c r="K59" s="1"/>
    </row>
    <row r="60" ht="15.75" customHeight="1">
      <c r="A60" s="1"/>
      <c r="B60" s="113" t="str">
        <f>Transacciones!B61</f>
        <v/>
      </c>
      <c r="C60" s="119" t="str">
        <f>Transacciones!C60</f>
        <v/>
      </c>
      <c r="D60" s="113"/>
      <c r="E60" s="113" t="str">
        <f>Transacciones!G60</f>
        <v/>
      </c>
      <c r="F60" s="113"/>
      <c r="G60" s="116"/>
      <c r="H60" s="113"/>
      <c r="I60" s="1"/>
      <c r="J60" s="1"/>
      <c r="K60" s="1"/>
    </row>
    <row r="61" ht="15.75" customHeight="1">
      <c r="A61" s="1"/>
      <c r="B61" s="113" t="str">
        <f>Transacciones!B62</f>
        <v/>
      </c>
      <c r="C61" s="119" t="str">
        <f>Transacciones!C61</f>
        <v/>
      </c>
      <c r="D61" s="113"/>
      <c r="E61" s="113" t="str">
        <f>Transacciones!G61</f>
        <v/>
      </c>
      <c r="F61" s="113"/>
      <c r="G61" s="118"/>
      <c r="H61" s="113"/>
      <c r="I61" s="1"/>
      <c r="J61" s="1"/>
      <c r="K61" s="1"/>
    </row>
    <row r="62" ht="15.75" customHeight="1">
      <c r="A62" s="1"/>
      <c r="B62" s="113" t="str">
        <f>Transacciones!B63</f>
        <v/>
      </c>
      <c r="C62" s="119" t="str">
        <f>Transacciones!C62</f>
        <v/>
      </c>
      <c r="D62" s="113"/>
      <c r="E62" s="113" t="str">
        <f>Transacciones!G62</f>
        <v/>
      </c>
      <c r="F62" s="113"/>
      <c r="G62" s="118"/>
      <c r="H62" s="113"/>
      <c r="I62" s="1"/>
      <c r="J62" s="1"/>
      <c r="K62" s="1"/>
    </row>
    <row r="63" ht="15.75" customHeight="1">
      <c r="A63" s="1"/>
      <c r="B63" s="113" t="str">
        <f>Transacciones!B64</f>
        <v/>
      </c>
      <c r="C63" s="119" t="str">
        <f>Transacciones!C63</f>
        <v/>
      </c>
      <c r="D63" s="113"/>
      <c r="E63" s="113" t="str">
        <f>Transacciones!G63</f>
        <v/>
      </c>
      <c r="F63" s="113"/>
      <c r="G63" s="118"/>
      <c r="H63" s="113"/>
      <c r="I63" s="1"/>
      <c r="J63" s="1"/>
      <c r="K63" s="1"/>
    </row>
    <row r="64" ht="15.75" customHeight="1">
      <c r="A64" s="1"/>
      <c r="B64" s="113" t="str">
        <f>Transacciones!B65</f>
        <v/>
      </c>
      <c r="C64" s="119" t="str">
        <f>Transacciones!C64</f>
        <v/>
      </c>
      <c r="D64" s="113"/>
      <c r="E64" s="113" t="str">
        <f>Transacciones!G64</f>
        <v/>
      </c>
      <c r="F64" s="113"/>
      <c r="G64" s="118"/>
      <c r="H64" s="113"/>
      <c r="I64" s="1"/>
      <c r="J64" s="1"/>
      <c r="K64" s="1"/>
    </row>
    <row r="65" ht="15.75" customHeight="1">
      <c r="A65" s="1"/>
      <c r="B65" s="113" t="str">
        <f>Transacciones!B66</f>
        <v/>
      </c>
      <c r="C65" s="119" t="str">
        <f>Transacciones!C65</f>
        <v/>
      </c>
      <c r="D65" s="113"/>
      <c r="E65" s="113" t="str">
        <f>Transacciones!G65</f>
        <v/>
      </c>
      <c r="F65" s="113"/>
      <c r="G65" s="116"/>
      <c r="H65" s="113"/>
      <c r="I65" s="1"/>
      <c r="J65" s="1"/>
      <c r="K65" s="1"/>
    </row>
    <row r="66" ht="15.75" customHeight="1">
      <c r="A66" s="1"/>
      <c r="B66" s="113" t="str">
        <f>Transacciones!B67</f>
        <v/>
      </c>
      <c r="C66" s="119" t="str">
        <f>Transacciones!C66</f>
        <v/>
      </c>
      <c r="D66" s="113"/>
      <c r="E66" s="113" t="str">
        <f>Transacciones!G66</f>
        <v/>
      </c>
      <c r="F66" s="113"/>
      <c r="G66" s="116"/>
      <c r="H66" s="113"/>
      <c r="I66" s="1"/>
      <c r="J66" s="1"/>
      <c r="K66" s="1"/>
    </row>
    <row r="67" ht="15.75" customHeight="1">
      <c r="A67" s="1"/>
      <c r="B67" s="113" t="str">
        <f>Transacciones!B68</f>
        <v/>
      </c>
      <c r="C67" s="119" t="str">
        <f>Transacciones!C67</f>
        <v/>
      </c>
      <c r="D67" s="113"/>
      <c r="E67" s="113" t="str">
        <f>Transacciones!G67</f>
        <v/>
      </c>
      <c r="F67" s="113"/>
      <c r="G67" s="116"/>
      <c r="H67" s="113"/>
      <c r="I67" s="1"/>
      <c r="J67" s="1"/>
      <c r="K67" s="1"/>
    </row>
    <row r="68" ht="15.75" customHeight="1">
      <c r="A68" s="1"/>
      <c r="B68" s="113" t="str">
        <f>Transacciones!B69</f>
        <v/>
      </c>
      <c r="C68" s="119" t="str">
        <f>Transacciones!C68</f>
        <v/>
      </c>
      <c r="D68" s="113"/>
      <c r="E68" s="113" t="str">
        <f>Transacciones!G68</f>
        <v/>
      </c>
      <c r="F68" s="113"/>
      <c r="G68" s="116"/>
      <c r="H68" s="113"/>
      <c r="I68" s="1"/>
      <c r="J68" s="1"/>
      <c r="K68" s="1"/>
    </row>
    <row r="69" ht="15.75" customHeight="1">
      <c r="A69" s="1"/>
      <c r="B69" s="113" t="str">
        <f>Transacciones!B70</f>
        <v/>
      </c>
      <c r="C69" s="119" t="str">
        <f>Transacciones!C69</f>
        <v/>
      </c>
      <c r="D69" s="113"/>
      <c r="E69" s="113" t="str">
        <f>Transacciones!G69</f>
        <v/>
      </c>
      <c r="F69" s="113"/>
      <c r="G69" s="118"/>
      <c r="H69" s="113"/>
      <c r="I69" s="1"/>
      <c r="J69" s="1"/>
      <c r="K69" s="1"/>
    </row>
    <row r="70" ht="15.75" customHeight="1">
      <c r="A70" s="1"/>
      <c r="B70" s="120"/>
      <c r="C70" s="119" t="str">
        <f>Transacciones!C70</f>
        <v/>
      </c>
      <c r="D70" s="113"/>
      <c r="E70" s="113" t="str">
        <f>Transacciones!G70</f>
        <v/>
      </c>
      <c r="F70" s="113"/>
      <c r="G70" s="118"/>
      <c r="H70" s="113"/>
      <c r="I70" s="1"/>
      <c r="J70" s="1"/>
      <c r="K70" s="1"/>
    </row>
    <row r="71" ht="15.75" customHeight="1">
      <c r="A71" s="1"/>
      <c r="B71" s="120"/>
      <c r="C71" s="119" t="str">
        <f>Transacciones!C71</f>
        <v/>
      </c>
      <c r="D71" s="113"/>
      <c r="E71" s="113" t="str">
        <f>Transacciones!G71</f>
        <v/>
      </c>
      <c r="F71" s="113"/>
      <c r="G71" s="118"/>
      <c r="H71" s="113"/>
      <c r="I71" s="1"/>
      <c r="J71" s="1"/>
      <c r="K71" s="1"/>
    </row>
    <row r="72" ht="15.75" customHeight="1">
      <c r="A72" s="1"/>
      <c r="B72" s="120"/>
      <c r="C72" s="119" t="str">
        <f>Transacciones!C72</f>
        <v/>
      </c>
      <c r="D72" s="113"/>
      <c r="E72" s="113" t="str">
        <f>Transacciones!G72</f>
        <v/>
      </c>
      <c r="F72" s="113"/>
      <c r="G72" s="118"/>
      <c r="H72" s="113"/>
      <c r="I72" s="1"/>
      <c r="J72" s="1"/>
      <c r="K72" s="1"/>
    </row>
    <row r="73" ht="15.75" customHeight="1">
      <c r="A73" s="1"/>
      <c r="B73" s="113"/>
      <c r="C73" s="119"/>
      <c r="D73" s="113"/>
      <c r="E73" s="113"/>
      <c r="F73" s="113"/>
      <c r="G73" s="113"/>
      <c r="H73" s="113"/>
      <c r="I73" s="1"/>
      <c r="J73" s="1"/>
      <c r="K73" s="1"/>
    </row>
    <row r="74" ht="15.75" customHeight="1">
      <c r="A74" s="1"/>
      <c r="B74" s="113"/>
      <c r="C74" s="119"/>
      <c r="D74" s="113"/>
      <c r="E74" s="113"/>
      <c r="F74" s="113"/>
      <c r="G74" s="113"/>
      <c r="H74" s="113"/>
      <c r="I74" s="1"/>
      <c r="J74" s="1"/>
      <c r="K74" s="1"/>
    </row>
    <row r="75" ht="15.75" customHeight="1">
      <c r="A75" s="1"/>
      <c r="B75" s="113"/>
      <c r="C75" s="119"/>
      <c r="D75" s="113"/>
      <c r="E75" s="113"/>
      <c r="F75" s="113"/>
      <c r="G75" s="113"/>
      <c r="H75" s="113"/>
      <c r="I75" s="1"/>
      <c r="J75" s="1"/>
      <c r="K75" s="1"/>
    </row>
    <row r="76" ht="15.75" customHeight="1">
      <c r="A76" s="1"/>
      <c r="B76" s="113"/>
      <c r="C76" s="119"/>
      <c r="D76" s="113"/>
      <c r="E76" s="113"/>
      <c r="F76" s="113"/>
      <c r="G76" s="113"/>
      <c r="H76" s="113"/>
      <c r="I76" s="1"/>
      <c r="J76" s="1"/>
      <c r="K76" s="1"/>
    </row>
    <row r="77" ht="15.75" customHeight="1">
      <c r="A77" s="1"/>
      <c r="B77" s="113"/>
      <c r="C77" s="119"/>
      <c r="D77" s="113"/>
      <c r="E77" s="113"/>
      <c r="F77" s="113"/>
      <c r="G77" s="113"/>
      <c r="H77" s="113"/>
      <c r="I77" s="1"/>
      <c r="J77" s="1"/>
      <c r="K77" s="1"/>
    </row>
    <row r="78" ht="15.75" customHeight="1">
      <c r="A78" s="1"/>
      <c r="B78" s="113"/>
      <c r="C78" s="119"/>
      <c r="D78" s="113"/>
      <c r="E78" s="113"/>
      <c r="F78" s="113"/>
      <c r="G78" s="113"/>
      <c r="H78" s="113"/>
      <c r="I78" s="1"/>
      <c r="J78" s="1"/>
      <c r="K78" s="1"/>
    </row>
    <row r="79" ht="15.75" customHeight="1">
      <c r="A79" s="1"/>
      <c r="B79" s="113"/>
      <c r="C79" s="119"/>
      <c r="D79" s="113"/>
      <c r="E79" s="113"/>
      <c r="F79" s="113"/>
      <c r="G79" s="113"/>
      <c r="H79" s="113"/>
      <c r="I79" s="1"/>
      <c r="J79" s="1"/>
      <c r="K79" s="1"/>
    </row>
    <row r="80" ht="15.75" customHeight="1">
      <c r="A80" s="1"/>
      <c r="B80" s="113"/>
      <c r="C80" s="119"/>
      <c r="D80" s="113"/>
      <c r="E80" s="113"/>
      <c r="F80" s="113"/>
      <c r="G80" s="113"/>
      <c r="H80" s="113"/>
      <c r="I80" s="1"/>
      <c r="J80" s="1"/>
      <c r="K80" s="1"/>
    </row>
    <row r="81" ht="15.75" customHeight="1">
      <c r="A81" s="1"/>
      <c r="B81" s="113"/>
      <c r="C81" s="119"/>
      <c r="D81" s="113"/>
      <c r="E81" s="113"/>
      <c r="F81" s="113"/>
      <c r="G81" s="113"/>
      <c r="H81" s="113"/>
      <c r="I81" s="1"/>
      <c r="J81" s="1"/>
      <c r="K81" s="1"/>
    </row>
    <row r="82" ht="15.75" customHeight="1">
      <c r="A82" s="1"/>
      <c r="B82" s="1"/>
      <c r="C82" s="52"/>
      <c r="D82" s="1"/>
      <c r="E82" s="1"/>
      <c r="F82" s="1"/>
      <c r="G82" s="121">
        <f t="shared" ref="G82:H82" si="1">SUM(G9:G81)</f>
        <v>110</v>
      </c>
      <c r="H82" s="1">
        <f t="shared" si="1"/>
        <v>74.88</v>
      </c>
      <c r="I82" s="1"/>
      <c r="J82" s="1"/>
      <c r="K82" s="1"/>
    </row>
    <row r="83" ht="15.75" customHeight="1">
      <c r="A83" s="1"/>
      <c r="B83" s="1"/>
      <c r="C83" s="52"/>
      <c r="D83" s="1"/>
      <c r="E83" s="122" t="s">
        <v>69</v>
      </c>
      <c r="F83" s="122"/>
      <c r="G83" s="123">
        <f>Transacciones!F9</f>
        <v>1077.88</v>
      </c>
      <c r="H83" s="1"/>
      <c r="I83" s="1"/>
      <c r="J83" s="1"/>
      <c r="K83" s="1"/>
    </row>
    <row r="84" ht="15.75" customHeight="1">
      <c r="A84" s="1"/>
      <c r="B84" s="1"/>
      <c r="C84" s="52"/>
      <c r="D84" s="1"/>
      <c r="E84" s="124" t="s">
        <v>70</v>
      </c>
      <c r="F84" s="124"/>
      <c r="G84" s="125">
        <f>G82-H82+G83</f>
        <v>1113</v>
      </c>
      <c r="H84" s="1"/>
      <c r="I84" s="1"/>
      <c r="J84" s="1"/>
      <c r="K84" s="1"/>
    </row>
    <row r="85" ht="15.75" customHeight="1">
      <c r="A85" s="1"/>
      <c r="B85" s="1"/>
      <c r="C85" s="52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52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52"/>
      <c r="D87" s="1"/>
      <c r="E87" s="1"/>
      <c r="F87" s="1"/>
      <c r="G87" s="1"/>
      <c r="H87" s="1"/>
      <c r="I87" s="1"/>
      <c r="J87" s="1"/>
      <c r="K87" s="1"/>
    </row>
    <row r="88" ht="15.75" customHeight="1">
      <c r="C88" s="52"/>
    </row>
    <row r="89" ht="15.75" customHeight="1">
      <c r="C89" s="52"/>
    </row>
    <row r="90" ht="15.75" customHeight="1">
      <c r="C90" s="52"/>
    </row>
    <row r="91" ht="15.75" customHeight="1">
      <c r="C91" s="52"/>
    </row>
    <row r="92" ht="15.75" customHeight="1">
      <c r="C92" s="52"/>
    </row>
    <row r="93" ht="15.75" customHeight="1">
      <c r="C93" s="52"/>
    </row>
    <row r="94" ht="15.75" customHeight="1">
      <c r="C94" s="52"/>
    </row>
    <row r="95" ht="15.75" customHeight="1">
      <c r="C95" s="52"/>
    </row>
    <row r="96" ht="15.75" customHeight="1">
      <c r="C96" s="52"/>
    </row>
    <row r="97" ht="15.75" customHeight="1">
      <c r="C97" s="52"/>
    </row>
    <row r="98" ht="15.75" customHeight="1">
      <c r="C98" s="52"/>
    </row>
    <row r="99" ht="15.75" customHeight="1">
      <c r="C99" s="52"/>
    </row>
    <row r="100" ht="15.75" customHeight="1">
      <c r="C100" s="52"/>
    </row>
    <row r="101" ht="15.75" customHeight="1">
      <c r="C101" s="52"/>
    </row>
    <row r="102" ht="15.75" customHeight="1">
      <c r="C102" s="52"/>
    </row>
    <row r="103" ht="15.75" customHeight="1">
      <c r="C103" s="52"/>
    </row>
    <row r="104" ht="15.75" customHeight="1">
      <c r="C104" s="52"/>
    </row>
    <row r="105" ht="15.75" customHeight="1">
      <c r="C105" s="52"/>
    </row>
    <row r="106" ht="15.75" customHeight="1">
      <c r="C106" s="52"/>
    </row>
    <row r="107" ht="15.75" customHeight="1">
      <c r="C107" s="52"/>
    </row>
    <row r="108" ht="15.75" customHeight="1">
      <c r="C108" s="52"/>
    </row>
    <row r="109" ht="15.75" customHeight="1">
      <c r="C109" s="52"/>
    </row>
    <row r="110" ht="15.75" customHeight="1">
      <c r="C110" s="52"/>
    </row>
    <row r="111" ht="15.75" customHeight="1">
      <c r="C111" s="52"/>
    </row>
    <row r="112" ht="15.75" customHeight="1">
      <c r="C112" s="52"/>
    </row>
    <row r="113" ht="15.75" customHeight="1">
      <c r="C113" s="52"/>
    </row>
    <row r="114" ht="15.75" customHeight="1">
      <c r="C114" s="52"/>
    </row>
    <row r="115" ht="15.75" customHeight="1">
      <c r="C115" s="52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mergeCells count="5">
    <mergeCell ref="B2:J2"/>
    <mergeCell ref="B4:E4"/>
    <mergeCell ref="F4:G4"/>
    <mergeCell ref="B5:E5"/>
    <mergeCell ref="F5:G5"/>
  </mergeCells>
  <drawing r:id="rId1"/>
</worksheet>
</file>