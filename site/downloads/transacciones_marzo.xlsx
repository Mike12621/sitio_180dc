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ciones" sheetId="1" r:id="rId4"/>
    <sheet state="visible" name="Ingresos y Egresos" sheetId="2" r:id="rId5"/>
    <sheet state="visible" name="Caja y Bancos" sheetId="3" r:id="rId6"/>
  </sheets>
  <definedNames/>
  <calcPr/>
  <extLst>
    <ext uri="GoogleSheetsCustomDataVersion2">
      <go:sheetsCustomData xmlns:go="http://customooxmlschemas.google.com/" r:id="rId7" roundtripDataChecksum="RVxpDOQeNiNBCG/UWtqbZULg+fE3moCjRxv44LlH72o="/>
    </ext>
  </extLst>
</workbook>
</file>

<file path=xl/sharedStrings.xml><?xml version="1.0" encoding="utf-8"?>
<sst xmlns="http://schemas.openxmlformats.org/spreadsheetml/2006/main" count="492" uniqueCount="70">
  <si>
    <t xml:space="preserve">REGISTRO DE TRANSACCIONES (MARZO 2026-1) </t>
  </si>
  <si>
    <t>Responsable(s) de la actualización</t>
  </si>
  <si>
    <t>Última actualización</t>
  </si>
  <si>
    <t>Lesly Guzmán</t>
  </si>
  <si>
    <t>24/04/2026</t>
  </si>
  <si>
    <t>ACTIVIDAD O EVENTO</t>
  </si>
  <si>
    <t>LIBRO SIMPLIFICADO - version 180 DC PUCP</t>
  </si>
  <si>
    <t>OBSERVACIONES</t>
  </si>
  <si>
    <t>Ord.</t>
  </si>
  <si>
    <t>Fecha de registro</t>
  </si>
  <si>
    <t>Nombre de la Actividad</t>
  </si>
  <si>
    <t>Glosa</t>
  </si>
  <si>
    <t>Monto (S/.)</t>
  </si>
  <si>
    <t>Descripcion</t>
  </si>
  <si>
    <t>Fecha del Comprobante</t>
  </si>
  <si>
    <t>Tipo de Comprobante</t>
  </si>
  <si>
    <t>Codigo de Comprobante (Nº, Serie, etc.)</t>
  </si>
  <si>
    <t>Nombre / Razón Social</t>
  </si>
  <si>
    <t>RUC / DNI</t>
  </si>
  <si>
    <t>SALDO ANTERIOR FEBRERO</t>
  </si>
  <si>
    <t>13/03/2026</t>
  </si>
  <si>
    <t>Inventarios de equipo</t>
  </si>
  <si>
    <t>Gasto</t>
  </si>
  <si>
    <t>Bienvenida — Polos y photochecks (inventario)</t>
  </si>
  <si>
    <t>18/03/2026</t>
  </si>
  <si>
    <t>23/03/2026</t>
  </si>
  <si>
    <t>Membresía</t>
  </si>
  <si>
    <t>Ingreso</t>
  </si>
  <si>
    <t>Ingreso por pago de fee</t>
  </si>
  <si>
    <t>24/03/2026</t>
  </si>
  <si>
    <t>Bienvenida — Insumos (bocaditos, materiales)</t>
  </si>
  <si>
    <t>25/03/2026</t>
  </si>
  <si>
    <t>26/03/2026</t>
  </si>
  <si>
    <t>27/03/2026</t>
  </si>
  <si>
    <t>30/03/2026</t>
  </si>
  <si>
    <t>Resumen</t>
  </si>
  <si>
    <t>Monto</t>
  </si>
  <si>
    <t>Notas</t>
  </si>
  <si>
    <t>SALDO INICIAL (en efectivo)</t>
  </si>
  <si>
    <t>Total Ingresos</t>
  </si>
  <si>
    <t>Total Inversiones</t>
  </si>
  <si>
    <t>Total Egresos</t>
  </si>
  <si>
    <t>SALDO FINAL (en efectivo)</t>
  </si>
  <si>
    <t>Egresos</t>
  </si>
  <si>
    <t>Mes</t>
  </si>
  <si>
    <t>Rubro</t>
  </si>
  <si>
    <t>Destino</t>
  </si>
  <si>
    <t>Observaciones</t>
  </si>
  <si>
    <t>Total EGRESOS</t>
  </si>
  <si>
    <t>Inversiones</t>
  </si>
  <si>
    <t>Egresos por IME</t>
  </si>
  <si>
    <t>Total INVERSIONES</t>
  </si>
  <si>
    <t>Ingresos</t>
  </si>
  <si>
    <t>General</t>
  </si>
  <si>
    <t>Total INGRESOS</t>
  </si>
  <si>
    <t>Otros (no devengados)</t>
  </si>
  <si>
    <t>Cuentas por cobrar</t>
  </si>
  <si>
    <t>Cuentas por pagar</t>
  </si>
  <si>
    <t>Diferencia</t>
  </si>
  <si>
    <t xml:space="preserve">LIBRO CAJA Y BANCOS </t>
  </si>
  <si>
    <t>Numero correlativo de registro</t>
  </si>
  <si>
    <t xml:space="preserve">Fecha </t>
  </si>
  <si>
    <t>Metodo de pago</t>
  </si>
  <si>
    <t>Descripcion de la operacion</t>
  </si>
  <si>
    <t>Nº de Transaccion Bancaria</t>
  </si>
  <si>
    <t>INGRESO</t>
  </si>
  <si>
    <t>SALIDA</t>
  </si>
  <si>
    <t>Plin</t>
  </si>
  <si>
    <t>Saldo anterior</t>
  </si>
  <si>
    <t>Saldo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</si>
</sst>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[$S/.]#,##0.00"/>
    <numFmt numFmtId="166" formatCode="dd&quot;/&quot;mm&quot;/&quot;yyyy"/>
    <numFmt numFmtId="167" formatCode="m/d/yyyy"/>
    <numFmt numFmtId="168" formatCode="d/M/yy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Arial"/>
      <scheme val="minor"/>
    </font>
    <font>
      <color rgb="FFFF0000"/>
      <name val="Arial"/>
    </font>
    <font>
      <b/>
      <sz val="11.0"/>
      <color rgb="FFFFFFFF"/>
      <name val="Calibri"/>
    </font>
    <font>
      <b/>
      <color theme="1"/>
      <name val="Calibri"/>
    </font>
    <font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6DDE8"/>
        <bgColor rgb="FFB6DD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CCFF"/>
        <bgColor rgb="FF00CCFF"/>
      </patternFill>
    </fill>
    <fill>
      <patternFill patternType="solid">
        <fgColor rgb="FFF1C232"/>
        <bgColor rgb="FFF1C232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333399"/>
      </left>
      <top style="thin">
        <color rgb="FF333399"/>
      </top>
      <bottom style="thin">
        <color rgb="FF333399"/>
      </bottom>
    </border>
    <border>
      <top style="thin">
        <color rgb="FF333399"/>
      </top>
      <bottom style="thin">
        <color rgb="FF333399"/>
      </bottom>
    </border>
    <border>
      <right style="thin">
        <color rgb="FF333399"/>
      </right>
      <top style="thin">
        <color rgb="FF333399"/>
      </top>
      <bottom style="thin">
        <color rgb="FF333399"/>
      </bottom>
    </border>
    <border>
      <left style="thin">
        <color rgb="FF333399"/>
      </left>
      <bottom style="double">
        <color rgb="FF333399"/>
      </bottom>
    </border>
    <border>
      <bottom style="double">
        <color rgb="FF333399"/>
      </bottom>
    </border>
    <border>
      <right style="thin">
        <color rgb="FF333399"/>
      </right>
      <top style="thin">
        <color rgb="FF333399"/>
      </top>
      <bottom style="double">
        <color rgb="FF333399"/>
      </bottom>
    </border>
    <border>
      <left style="thin">
        <color rgb="FF333399"/>
      </left>
      <bottom style="thin">
        <color rgb="FF333399"/>
      </bottom>
    </border>
    <border>
      <bottom style="thin">
        <color rgb="FF333399"/>
      </bottom>
    </border>
    <border>
      <right style="thin">
        <color rgb="FF333399"/>
      </right>
      <bottom style="thin">
        <color rgb="FF333399"/>
      </bottom>
    </border>
    <border>
      <left style="thin">
        <color rgb="FF333399"/>
      </left>
    </border>
    <border>
      <right style="thin">
        <color rgb="FF333399"/>
      </right>
      <top style="thin">
        <color rgb="FF333399"/>
      </top>
    </border>
    <border>
      <left style="thin">
        <color rgb="FF333399"/>
      </left>
      <top style="double">
        <color rgb="FF333399"/>
      </top>
      <bottom style="thin">
        <color rgb="FF333399"/>
      </bottom>
    </border>
    <border>
      <top style="double">
        <color rgb="FF333399"/>
      </top>
      <bottom style="thin">
        <color rgb="FF333399"/>
      </bottom>
    </border>
    <border>
      <right style="thin">
        <color rgb="FF333399"/>
      </right>
      <top style="double">
        <color rgb="FF333399"/>
      </top>
      <bottom style="thin">
        <color rgb="FF333399"/>
      </bottom>
    </border>
    <border>
      <left style="thin">
        <color rgb="FF333399"/>
      </left>
      <top style="thin">
        <color rgb="FF333399"/>
      </top>
    </border>
    <border>
      <top style="thin">
        <color rgb="FF333399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4" fontId="3" numFmtId="0" xfId="0" applyAlignment="1" applyBorder="1" applyFill="1" applyFont="1">
      <alignment horizontal="center" vertical="bottom"/>
    </xf>
    <xf borderId="6" fillId="0" fontId="4" numFmtId="0" xfId="0" applyBorder="1" applyFont="1"/>
    <xf borderId="7" fillId="5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bottom"/>
    </xf>
    <xf borderId="8" fillId="3" fontId="3" numFmtId="0" xfId="0" applyAlignment="1" applyBorder="1" applyFont="1">
      <alignment horizontal="center" vertical="bottom"/>
    </xf>
    <xf borderId="9" fillId="3" fontId="3" numFmtId="0" xfId="0" applyAlignment="1" applyBorder="1" applyFont="1">
      <alignment horizontal="center" shrinkToFit="0" vertical="bottom" wrapText="1"/>
    </xf>
    <xf borderId="10" fillId="3" fontId="3" numFmtId="0" xfId="0" applyAlignment="1" applyBorder="1" applyFont="1">
      <alignment horizontal="center" shrinkToFit="0" vertical="bottom" wrapText="1"/>
    </xf>
    <xf borderId="9" fillId="4" fontId="3" numFmtId="0" xfId="0" applyAlignment="1" applyBorder="1" applyFont="1">
      <alignment horizontal="center" vertical="bottom"/>
    </xf>
    <xf borderId="9" fillId="4" fontId="3" numFmtId="0" xfId="0" applyAlignment="1" applyBorder="1" applyFont="1">
      <alignment horizontal="center" shrinkToFit="0" vertical="bottom" wrapText="1"/>
    </xf>
    <xf borderId="9" fillId="4" fontId="3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vertical="bottom"/>
    </xf>
    <xf borderId="11" fillId="0" fontId="4" numFmtId="0" xfId="0" applyBorder="1" applyFont="1"/>
    <xf borderId="0" fillId="0" fontId="5" numFmtId="0" xfId="0" applyAlignment="1" applyFont="1">
      <alignment horizontal="center" vertical="bottom"/>
    </xf>
    <xf borderId="12" fillId="6" fontId="5" numFmtId="0" xfId="0" applyAlignment="1" applyBorder="1" applyFill="1" applyFont="1">
      <alignment horizontal="center" vertical="bottom"/>
    </xf>
    <xf borderId="13" fillId="6" fontId="1" numFmtId="164" xfId="0" applyAlignment="1" applyBorder="1" applyFont="1" applyNumberFormat="1">
      <alignment vertical="bottom"/>
    </xf>
    <xf borderId="13" fillId="6" fontId="1" numFmtId="0" xfId="0" applyAlignment="1" applyBorder="1" applyFont="1">
      <alignment vertical="bottom"/>
    </xf>
    <xf borderId="13" fillId="7" fontId="5" numFmtId="165" xfId="0" applyAlignment="1" applyBorder="1" applyFill="1" applyFont="1" applyNumberFormat="1">
      <alignment horizontal="right" vertical="bottom"/>
    </xf>
    <xf borderId="13" fillId="6" fontId="3" numFmtId="0" xfId="0" applyAlignment="1" applyBorder="1" applyFont="1">
      <alignment horizontal="center" readingOrder="0" vertical="bottom"/>
    </xf>
    <xf borderId="0" fillId="8" fontId="1" numFmtId="0" xfId="0" applyAlignment="1" applyFill="1" applyFont="1">
      <alignment vertical="bottom"/>
    </xf>
    <xf borderId="0" fillId="0" fontId="1" numFmtId="0" xfId="0" applyAlignment="1" applyFont="1">
      <alignment horizontal="right" vertical="center"/>
    </xf>
    <xf borderId="0" fillId="0" fontId="6" numFmtId="166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7" numFmtId="165" xfId="0" applyAlignment="1" applyFont="1" applyNumberFormat="1">
      <alignment horizontal="righ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right" readingOrder="0"/>
    </xf>
    <xf borderId="0" fillId="9" fontId="6" numFmtId="0" xfId="0" applyAlignment="1" applyFill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right" readingOrder="0" vertical="center"/>
    </xf>
    <xf borderId="0" fillId="0" fontId="1" numFmtId="168" xfId="0" applyAlignment="1" applyFont="1" applyNumberFormat="1">
      <alignment vertical="center"/>
    </xf>
    <xf borderId="0" fillId="10" fontId="6" numFmtId="0" xfId="0" applyAlignment="1" applyFill="1" applyFont="1">
      <alignment horizontal="right" readingOrder="0"/>
    </xf>
    <xf borderId="0" fillId="11" fontId="6" numFmtId="0" xfId="0" applyAlignment="1" applyFill="1" applyFont="1">
      <alignment horizontal="right" readingOrder="0"/>
    </xf>
    <xf borderId="0" fillId="12" fontId="6" numFmtId="0" xfId="0" applyAlignment="1" applyFill="1" applyFont="1">
      <alignment horizontal="right" readingOrder="0"/>
    </xf>
    <xf borderId="0" fillId="13" fontId="1" numFmtId="0" xfId="0" applyAlignment="1" applyFill="1" applyFont="1">
      <alignment vertical="bottom"/>
    </xf>
    <xf borderId="0" fillId="14" fontId="6" numFmtId="0" xfId="0" applyAlignment="1" applyFill="1" applyFont="1">
      <alignment horizontal="right" readingOrder="0"/>
    </xf>
    <xf borderId="0" fillId="0" fontId="6" numFmtId="166" xfId="0" applyFont="1" applyNumberFormat="1"/>
    <xf borderId="14" fillId="15" fontId="8" numFmtId="0" xfId="0" applyAlignment="1" applyBorder="1" applyFill="1" applyFont="1">
      <alignment horizontal="center" vertical="bottom"/>
    </xf>
    <xf borderId="15" fillId="0" fontId="4" numFmtId="0" xfId="0" applyBorder="1" applyFont="1"/>
    <xf borderId="15" fillId="15" fontId="8" numFmtId="0" xfId="0" applyAlignment="1" applyBorder="1" applyFont="1">
      <alignment horizontal="center" vertical="bottom"/>
    </xf>
    <xf borderId="15" fillId="15" fontId="1" numFmtId="0" xfId="0" applyAlignment="1" applyBorder="1" applyFont="1">
      <alignment vertical="bottom"/>
    </xf>
    <xf borderId="16" fillId="15" fontId="8" numFmtId="0" xfId="0" applyAlignment="1" applyBorder="1" applyFont="1">
      <alignment horizontal="center" vertical="bottom"/>
    </xf>
    <xf borderId="17" fillId="0" fontId="3" numFmtId="0" xfId="0" applyAlignment="1" applyBorder="1" applyFont="1">
      <alignment vertical="bottom"/>
    </xf>
    <xf borderId="18" fillId="0" fontId="4" numFmtId="0" xfId="0" applyBorder="1" applyFont="1"/>
    <xf borderId="18" fillId="0" fontId="9" numFmtId="165" xfId="0" applyAlignment="1" applyBorder="1" applyFont="1" applyNumberFormat="1">
      <alignment horizontal="right"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21" fillId="0" fontId="4" numFmtId="0" xfId="0" applyBorder="1" applyFont="1"/>
    <xf borderId="21" fillId="0" fontId="10" numFmtId="165" xfId="0" applyAlignment="1" applyBorder="1" applyFont="1" applyNumberFormat="1">
      <alignment horizontal="right"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23" fillId="0" fontId="5" numFmtId="0" xfId="0" applyAlignment="1" applyBorder="1" applyFont="1">
      <alignment vertical="bottom"/>
    </xf>
    <xf borderId="0" fillId="0" fontId="10" numFmtId="165" xfId="0" applyAlignment="1" applyFont="1" applyNumberFormat="1">
      <alignment horizontal="right" vertical="bottom"/>
    </xf>
    <xf borderId="24" fillId="0" fontId="1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26" fillId="0" fontId="4" numFmtId="0" xfId="0" applyBorder="1" applyFont="1"/>
    <xf borderId="26" fillId="0" fontId="9" numFmtId="165" xfId="0" applyAlignment="1" applyBorder="1" applyFont="1" applyNumberFormat="1">
      <alignment horizontal="right" vertical="bottom"/>
    </xf>
    <xf borderId="26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8" fillId="15" fontId="8" numFmtId="0" xfId="0" applyAlignment="1" applyBorder="1" applyFont="1">
      <alignment horizontal="center" vertical="bottom"/>
    </xf>
    <xf borderId="29" fillId="15" fontId="8" numFmtId="0" xfId="0" applyAlignment="1" applyBorder="1" applyFont="1">
      <alignment horizontal="center" vertical="bottom"/>
    </xf>
    <xf borderId="28" fillId="0" fontId="9" numFmtId="0" xfId="0" applyBorder="1" applyFont="1"/>
    <xf borderId="28" fillId="0" fontId="10" numFmtId="0" xfId="0" applyAlignment="1" applyBorder="1" applyFont="1">
      <alignment shrinkToFit="0" vertical="bottom" wrapText="1"/>
    </xf>
    <xf borderId="29" fillId="0" fontId="10" numFmtId="2" xfId="0" applyAlignment="1" applyBorder="1" applyFont="1" applyNumberFormat="1">
      <alignment horizontal="right" vertical="bottom"/>
    </xf>
    <xf borderId="29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25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28" fillId="0" fontId="1" numFmtId="0" xfId="0" applyBorder="1" applyFont="1"/>
    <xf borderId="29" fillId="0" fontId="10" numFmtId="165" xfId="0" applyAlignment="1" applyBorder="1" applyFont="1" applyNumberFormat="1">
      <alignment horizontal="right" vertical="bottom"/>
    </xf>
    <xf borderId="14" fillId="0" fontId="1" numFmtId="0" xfId="0" applyAlignment="1" applyBorder="1" applyFont="1">
      <alignment vertical="bottom"/>
    </xf>
    <xf borderId="25" fillId="0" fontId="9" numFmtId="0" xfId="0" applyAlignment="1" applyBorder="1" applyFont="1">
      <alignment horizontal="right" vertical="bottom"/>
    </xf>
    <xf borderId="28" fillId="0" fontId="10" numFmtId="0" xfId="0" applyBorder="1" applyFont="1"/>
    <xf borderId="28" fillId="0" fontId="10" numFmtId="0" xfId="0" applyAlignment="1" applyBorder="1" applyFont="1">
      <alignment vertical="bottom"/>
    </xf>
    <xf borderId="25" fillId="0" fontId="9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20" fillId="0" fontId="10" numFmtId="0" xfId="0" applyAlignment="1" applyBorder="1" applyFont="1">
      <alignment vertical="bottom"/>
    </xf>
    <xf borderId="26" fillId="0" fontId="10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5" fontId="3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vertical="bottom"/>
    </xf>
    <xf borderId="8" fillId="0" fontId="1" numFmtId="166" xfId="0" applyAlignment="1" applyBorder="1" applyFont="1" applyNumberFormat="1">
      <alignment vertical="bottom"/>
    </xf>
    <xf borderId="8" fillId="0" fontId="1" numFmtId="0" xfId="0" applyAlignment="1" applyBorder="1" applyFont="1">
      <alignment readingOrder="0" vertical="bottom"/>
    </xf>
    <xf borderId="8" fillId="0" fontId="6" numFmtId="0" xfId="0" applyBorder="1" applyFont="1"/>
    <xf borderId="1" fillId="0" fontId="1" numFmtId="165" xfId="0" applyAlignment="1" applyBorder="1" applyFont="1" applyNumberFormat="1">
      <alignment vertical="bottom"/>
    </xf>
    <xf borderId="30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8" fillId="0" fontId="6" numFmtId="166" xfId="0" applyBorder="1" applyFont="1" applyNumberFormat="1"/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16" fontId="1" numFmtId="0" xfId="0" applyAlignment="1" applyFill="1" applyFont="1">
      <alignment vertical="bottom"/>
    </xf>
    <xf borderId="0" fillId="16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ransaccion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6" displayName="Table_1" name="Table_1" id="1">
  <tableColumns count="1">
    <tableColumn name="Column1" id="1"/>
  </tableColumns>
  <tableStyleInfo name="Transac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3" width="12.63"/>
    <col customWidth="1" min="4" max="4" width="21.63"/>
    <col customWidth="1" min="5" max="5" width="22.25"/>
    <col customWidth="1" min="6" max="6" width="12.63"/>
    <col customWidth="1" min="7" max="7" width="35.88"/>
    <col customWidth="1" min="9" max="9" width="17.63"/>
    <col customWidth="1" min="11" max="11" width="26.88"/>
    <col customWidth="1" min="13" max="13" width="51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/>
      <c r="C4" s="3" t="s">
        <v>1</v>
      </c>
      <c r="D4" s="4"/>
      <c r="E4" s="4"/>
      <c r="F4" s="5"/>
      <c r="G4" s="3" t="s">
        <v>2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"/>
      <c r="C5" s="6" t="s">
        <v>3</v>
      </c>
      <c r="D5" s="4"/>
      <c r="E5" s="4"/>
      <c r="F5" s="5"/>
      <c r="G5" s="6" t="s">
        <v>4</v>
      </c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"/>
      <c r="C7" s="7" t="s">
        <v>5</v>
      </c>
      <c r="D7" s="8"/>
      <c r="E7" s="9" t="s">
        <v>6</v>
      </c>
      <c r="F7" s="10"/>
      <c r="G7" s="10"/>
      <c r="H7" s="10"/>
      <c r="I7" s="10"/>
      <c r="J7" s="10"/>
      <c r="K7" s="10"/>
      <c r="L7" s="8"/>
      <c r="M7" s="11" t="s">
        <v>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2"/>
      <c r="B8" s="13" t="s">
        <v>8</v>
      </c>
      <c r="C8" s="14" t="s">
        <v>9</v>
      </c>
      <c r="D8" s="15" t="s">
        <v>10</v>
      </c>
      <c r="E8" s="16" t="s">
        <v>11</v>
      </c>
      <c r="F8" s="16" t="s">
        <v>12</v>
      </c>
      <c r="G8" s="16" t="s">
        <v>13</v>
      </c>
      <c r="H8" s="17" t="s">
        <v>14</v>
      </c>
      <c r="I8" s="17" t="s">
        <v>15</v>
      </c>
      <c r="J8" s="17" t="s">
        <v>16</v>
      </c>
      <c r="K8" s="18" t="s">
        <v>17</v>
      </c>
      <c r="L8" s="19" t="s">
        <v>18</v>
      </c>
      <c r="M8" s="2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1"/>
      <c r="B9" s="22">
        <v>0.0</v>
      </c>
      <c r="C9" s="23"/>
      <c r="D9" s="24"/>
      <c r="E9" s="24"/>
      <c r="F9" s="25">
        <f>921.05</f>
        <v>921.05</v>
      </c>
      <c r="G9" s="26" t="s">
        <v>19</v>
      </c>
      <c r="H9" s="24"/>
      <c r="I9" s="24"/>
      <c r="J9" s="24"/>
      <c r="K9" s="24"/>
      <c r="L9" s="24"/>
      <c r="M9" s="24"/>
      <c r="N9" s="1"/>
      <c r="O9" s="1"/>
      <c r="P9" s="1"/>
      <c r="Q9" s="27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8"/>
      <c r="B10" s="28">
        <v>1.0</v>
      </c>
      <c r="C10" s="29" t="s">
        <v>20</v>
      </c>
      <c r="D10" s="30" t="s">
        <v>21</v>
      </c>
      <c r="E10" s="31" t="s">
        <v>22</v>
      </c>
      <c r="F10" s="32">
        <v>50.0</v>
      </c>
      <c r="G10" s="33" t="s">
        <v>23</v>
      </c>
      <c r="H10" s="34"/>
      <c r="I10" s="35"/>
      <c r="J10" s="36"/>
      <c r="K10" s="35"/>
      <c r="L10" s="36"/>
      <c r="M10" s="35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ht="15.75" customHeight="1">
      <c r="A11" s="38"/>
      <c r="B11" s="38">
        <v>2.0</v>
      </c>
      <c r="C11" s="29" t="s">
        <v>20</v>
      </c>
      <c r="D11" s="30" t="s">
        <v>21</v>
      </c>
      <c r="E11" s="31" t="s">
        <v>22</v>
      </c>
      <c r="F11" s="32">
        <v>120.0</v>
      </c>
      <c r="G11" s="39" t="s">
        <v>23</v>
      </c>
      <c r="H11" s="34"/>
      <c r="I11" s="3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38"/>
      <c r="B12" s="38">
        <v>3.0</v>
      </c>
      <c r="C12" s="40" t="s">
        <v>24</v>
      </c>
      <c r="D12" s="30" t="s">
        <v>21</v>
      </c>
      <c r="E12" s="30" t="s">
        <v>22</v>
      </c>
      <c r="F12" s="32">
        <v>120.0</v>
      </c>
      <c r="G12" s="39" t="s">
        <v>23</v>
      </c>
      <c r="H12" s="34"/>
      <c r="I12" s="35"/>
      <c r="J12" s="1"/>
      <c r="K12" s="1"/>
      <c r="L12" s="3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38"/>
      <c r="B13" s="38">
        <v>4.0</v>
      </c>
      <c r="C13" s="41" t="s">
        <v>25</v>
      </c>
      <c r="D13" s="30" t="s">
        <v>26</v>
      </c>
      <c r="E13" s="42" t="s">
        <v>27</v>
      </c>
      <c r="F13" s="43">
        <v>10.0</v>
      </c>
      <c r="G13" s="39" t="s">
        <v>28</v>
      </c>
      <c r="H13" s="34"/>
      <c r="I13" s="35"/>
      <c r="J13" s="1"/>
      <c r="K13" s="1"/>
      <c r="L13" s="3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38"/>
      <c r="B14" s="38">
        <v>5.0</v>
      </c>
      <c r="C14" s="41" t="s">
        <v>25</v>
      </c>
      <c r="D14" s="30" t="s">
        <v>26</v>
      </c>
      <c r="E14" s="42" t="s">
        <v>27</v>
      </c>
      <c r="F14" s="43">
        <v>10.0</v>
      </c>
      <c r="G14" s="39" t="s">
        <v>28</v>
      </c>
      <c r="H14" s="34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38"/>
      <c r="B15" s="38">
        <v>6.0</v>
      </c>
      <c r="C15" s="41" t="s">
        <v>25</v>
      </c>
      <c r="D15" s="30" t="s">
        <v>26</v>
      </c>
      <c r="E15" s="42" t="s">
        <v>27</v>
      </c>
      <c r="F15" s="43">
        <v>10.0</v>
      </c>
      <c r="G15" s="39" t="s">
        <v>28</v>
      </c>
      <c r="H15" s="34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38"/>
      <c r="B16" s="38">
        <v>7.0</v>
      </c>
      <c r="C16" s="41" t="s">
        <v>25</v>
      </c>
      <c r="D16" s="30" t="s">
        <v>26</v>
      </c>
      <c r="E16" s="42" t="s">
        <v>27</v>
      </c>
      <c r="F16" s="43">
        <v>10.0</v>
      </c>
      <c r="G16" s="39" t="s">
        <v>28</v>
      </c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38"/>
      <c r="B17" s="38">
        <v>8.0</v>
      </c>
      <c r="C17" s="41" t="s">
        <v>25</v>
      </c>
      <c r="D17" s="30" t="s">
        <v>26</v>
      </c>
      <c r="E17" s="42" t="s">
        <v>27</v>
      </c>
      <c r="F17" s="43">
        <v>10.0</v>
      </c>
      <c r="G17" s="39" t="s">
        <v>28</v>
      </c>
      <c r="H17" s="4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38"/>
      <c r="B18" s="38">
        <v>9.0</v>
      </c>
      <c r="C18" s="41" t="s">
        <v>25</v>
      </c>
      <c r="D18" s="30" t="s">
        <v>26</v>
      </c>
      <c r="E18" s="42" t="s">
        <v>27</v>
      </c>
      <c r="F18" s="43">
        <v>10.0</v>
      </c>
      <c r="G18" s="39" t="s">
        <v>28</v>
      </c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38"/>
      <c r="B19" s="38">
        <v>10.0</v>
      </c>
      <c r="C19" s="41" t="s">
        <v>25</v>
      </c>
      <c r="D19" s="30" t="s">
        <v>26</v>
      </c>
      <c r="E19" s="42" t="s">
        <v>27</v>
      </c>
      <c r="F19" s="43">
        <v>10.0</v>
      </c>
      <c r="G19" s="39" t="s">
        <v>28</v>
      </c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38"/>
      <c r="B20" s="38">
        <v>11.0</v>
      </c>
      <c r="C20" s="41" t="s">
        <v>25</v>
      </c>
      <c r="D20" s="30" t="s">
        <v>26</v>
      </c>
      <c r="E20" s="42" t="s">
        <v>27</v>
      </c>
      <c r="F20" s="43">
        <v>10.0</v>
      </c>
      <c r="G20" s="39" t="s">
        <v>28</v>
      </c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38"/>
      <c r="B21" s="38">
        <v>12.0</v>
      </c>
      <c r="C21" s="41" t="s">
        <v>25</v>
      </c>
      <c r="D21" s="30" t="s">
        <v>26</v>
      </c>
      <c r="E21" s="42" t="s">
        <v>27</v>
      </c>
      <c r="F21" s="43">
        <v>10.0</v>
      </c>
      <c r="G21" s="39" t="s">
        <v>28</v>
      </c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38"/>
      <c r="B22" s="38">
        <v>13.0</v>
      </c>
      <c r="C22" s="41" t="s">
        <v>25</v>
      </c>
      <c r="D22" s="30" t="s">
        <v>26</v>
      </c>
      <c r="E22" s="42" t="s">
        <v>27</v>
      </c>
      <c r="F22" s="43">
        <v>10.0</v>
      </c>
      <c r="G22" s="39" t="s">
        <v>28</v>
      </c>
      <c r="H22" s="4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38"/>
      <c r="B23" s="38">
        <v>14.0</v>
      </c>
      <c r="C23" s="45" t="s">
        <v>29</v>
      </c>
      <c r="D23" s="30" t="s">
        <v>26</v>
      </c>
      <c r="E23" s="42" t="s">
        <v>27</v>
      </c>
      <c r="F23" s="43">
        <v>10.0</v>
      </c>
      <c r="G23" s="39" t="s">
        <v>28</v>
      </c>
      <c r="H23" s="4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38"/>
      <c r="B24" s="38">
        <v>15.0</v>
      </c>
      <c r="C24" s="45" t="s">
        <v>29</v>
      </c>
      <c r="D24" s="30" t="s">
        <v>26</v>
      </c>
      <c r="E24" s="42" t="s">
        <v>27</v>
      </c>
      <c r="F24" s="43">
        <v>10.0</v>
      </c>
      <c r="G24" s="39" t="s">
        <v>28</v>
      </c>
      <c r="H24" s="4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38"/>
      <c r="B25" s="38">
        <v>16.0</v>
      </c>
      <c r="C25" s="45" t="s">
        <v>29</v>
      </c>
      <c r="D25" s="30" t="s">
        <v>26</v>
      </c>
      <c r="E25" s="42" t="s">
        <v>27</v>
      </c>
      <c r="F25" s="43">
        <v>10.0</v>
      </c>
      <c r="G25" s="39" t="s">
        <v>28</v>
      </c>
      <c r="H25" s="4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38"/>
      <c r="B26" s="38">
        <v>17.0</v>
      </c>
      <c r="C26" s="45" t="s">
        <v>29</v>
      </c>
      <c r="D26" s="30" t="s">
        <v>26</v>
      </c>
      <c r="E26" s="42" t="s">
        <v>27</v>
      </c>
      <c r="F26" s="43">
        <v>10.0</v>
      </c>
      <c r="G26" s="39" t="s">
        <v>28</v>
      </c>
      <c r="H26" s="4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38"/>
      <c r="B27" s="38">
        <v>18.0</v>
      </c>
      <c r="C27" s="45" t="s">
        <v>29</v>
      </c>
      <c r="D27" s="30" t="s">
        <v>26</v>
      </c>
      <c r="E27" s="42" t="s">
        <v>27</v>
      </c>
      <c r="F27" s="43">
        <v>10.0</v>
      </c>
      <c r="G27" s="39" t="s">
        <v>28</v>
      </c>
      <c r="H27" s="4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38">
        <v>19.0</v>
      </c>
      <c r="C28" s="45" t="s">
        <v>29</v>
      </c>
      <c r="D28" s="30" t="s">
        <v>26</v>
      </c>
      <c r="E28" s="42" t="s">
        <v>27</v>
      </c>
      <c r="F28" s="43">
        <v>10.0</v>
      </c>
      <c r="G28" s="39" t="s">
        <v>28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38">
        <v>20.0</v>
      </c>
      <c r="C29" s="45" t="s">
        <v>29</v>
      </c>
      <c r="D29" s="30" t="s">
        <v>26</v>
      </c>
      <c r="E29" s="42" t="s">
        <v>27</v>
      </c>
      <c r="F29" s="43">
        <v>10.0</v>
      </c>
      <c r="G29" s="39" t="s">
        <v>28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38">
        <v>21.0</v>
      </c>
      <c r="C30" s="45" t="s">
        <v>29</v>
      </c>
      <c r="D30" s="30" t="s">
        <v>26</v>
      </c>
      <c r="E30" s="42" t="s">
        <v>27</v>
      </c>
      <c r="F30" s="43">
        <v>10.0</v>
      </c>
      <c r="G30" s="39" t="s">
        <v>28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38">
        <v>22.0</v>
      </c>
      <c r="C31" s="45" t="s">
        <v>29</v>
      </c>
      <c r="D31" s="30" t="s">
        <v>26</v>
      </c>
      <c r="E31" s="42" t="s">
        <v>27</v>
      </c>
      <c r="F31" s="43">
        <v>10.0</v>
      </c>
      <c r="G31" s="39" t="s">
        <v>28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38">
        <v>23.0</v>
      </c>
      <c r="C32" s="45" t="s">
        <v>29</v>
      </c>
      <c r="D32" s="30" t="s">
        <v>26</v>
      </c>
      <c r="E32" s="42" t="s">
        <v>27</v>
      </c>
      <c r="F32" s="43">
        <v>10.0</v>
      </c>
      <c r="G32" s="39" t="s">
        <v>28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B33" s="38">
        <v>24.0</v>
      </c>
      <c r="C33" s="45" t="s">
        <v>29</v>
      </c>
      <c r="D33" s="30" t="s">
        <v>26</v>
      </c>
      <c r="E33" s="42" t="s">
        <v>27</v>
      </c>
      <c r="F33" s="43">
        <v>10.0</v>
      </c>
      <c r="G33" s="39" t="s">
        <v>28</v>
      </c>
    </row>
    <row r="34" ht="15.75" customHeight="1">
      <c r="B34" s="38">
        <v>25.0</v>
      </c>
      <c r="C34" s="40" t="s">
        <v>29</v>
      </c>
      <c r="D34" s="30" t="s">
        <v>21</v>
      </c>
      <c r="E34" s="30" t="s">
        <v>22</v>
      </c>
      <c r="F34" s="32">
        <v>50.0</v>
      </c>
      <c r="G34" s="39" t="s">
        <v>30</v>
      </c>
    </row>
    <row r="35" ht="15.75" customHeight="1">
      <c r="B35" s="38">
        <v>26.0</v>
      </c>
      <c r="C35" s="40" t="s">
        <v>29</v>
      </c>
      <c r="D35" s="30" t="s">
        <v>21</v>
      </c>
      <c r="E35" s="30" t="s">
        <v>22</v>
      </c>
      <c r="F35" s="32">
        <v>12.0</v>
      </c>
      <c r="G35" s="39" t="s">
        <v>30</v>
      </c>
    </row>
    <row r="36" ht="15.75" customHeight="1">
      <c r="B36" s="38">
        <v>27.0</v>
      </c>
      <c r="C36" s="40" t="s">
        <v>29</v>
      </c>
      <c r="D36" s="30" t="s">
        <v>21</v>
      </c>
      <c r="E36" s="30" t="s">
        <v>22</v>
      </c>
      <c r="F36" s="32">
        <v>37.9</v>
      </c>
      <c r="G36" s="39" t="s">
        <v>30</v>
      </c>
    </row>
    <row r="37" ht="15.75" customHeight="1">
      <c r="B37" s="38">
        <v>28.0</v>
      </c>
      <c r="C37" s="40" t="s">
        <v>29</v>
      </c>
      <c r="D37" s="30" t="s">
        <v>21</v>
      </c>
      <c r="E37" s="30" t="s">
        <v>22</v>
      </c>
      <c r="F37" s="32">
        <v>93.27</v>
      </c>
      <c r="G37" s="39" t="s">
        <v>30</v>
      </c>
    </row>
    <row r="38" ht="15.75" customHeight="1">
      <c r="B38" s="38">
        <v>29.0</v>
      </c>
      <c r="C38" s="46" t="s">
        <v>31</v>
      </c>
      <c r="D38" s="30" t="s">
        <v>26</v>
      </c>
      <c r="E38" s="42" t="s">
        <v>27</v>
      </c>
      <c r="F38" s="43">
        <v>10.0</v>
      </c>
      <c r="G38" s="39" t="s">
        <v>28</v>
      </c>
    </row>
    <row r="39" ht="15.75" customHeight="1">
      <c r="B39" s="38">
        <v>30.0</v>
      </c>
      <c r="C39" s="46" t="s">
        <v>31</v>
      </c>
      <c r="D39" s="30" t="s">
        <v>26</v>
      </c>
      <c r="E39" s="42" t="s">
        <v>27</v>
      </c>
      <c r="F39" s="43">
        <v>10.0</v>
      </c>
      <c r="G39" s="39" t="s">
        <v>28</v>
      </c>
    </row>
    <row r="40" ht="15.75" customHeight="1">
      <c r="B40" s="38">
        <v>31.0</v>
      </c>
      <c r="C40" s="46" t="s">
        <v>31</v>
      </c>
      <c r="D40" s="30" t="s">
        <v>26</v>
      </c>
      <c r="E40" s="42" t="s">
        <v>27</v>
      </c>
      <c r="F40" s="43">
        <v>10.0</v>
      </c>
      <c r="G40" s="39" t="s">
        <v>28</v>
      </c>
    </row>
    <row r="41" ht="15.75" customHeight="1">
      <c r="B41" s="38">
        <v>32.0</v>
      </c>
      <c r="C41" s="46" t="s">
        <v>31</v>
      </c>
      <c r="D41" s="30" t="s">
        <v>26</v>
      </c>
      <c r="E41" s="42" t="s">
        <v>27</v>
      </c>
      <c r="F41" s="43">
        <v>10.0</v>
      </c>
      <c r="G41" s="39" t="s">
        <v>28</v>
      </c>
    </row>
    <row r="42" ht="15.75" customHeight="1">
      <c r="B42" s="38">
        <v>33.0</v>
      </c>
      <c r="C42" s="46" t="s">
        <v>31</v>
      </c>
      <c r="D42" s="30" t="s">
        <v>26</v>
      </c>
      <c r="E42" s="42" t="s">
        <v>27</v>
      </c>
      <c r="F42" s="43">
        <v>10.0</v>
      </c>
      <c r="G42" s="39" t="s">
        <v>28</v>
      </c>
    </row>
    <row r="43" ht="15.75" customHeight="1">
      <c r="B43" s="38">
        <v>34.0</v>
      </c>
      <c r="C43" s="46" t="s">
        <v>31</v>
      </c>
      <c r="D43" s="30" t="s">
        <v>26</v>
      </c>
      <c r="E43" s="42" t="s">
        <v>27</v>
      </c>
      <c r="F43" s="43">
        <v>10.0</v>
      </c>
      <c r="G43" s="39" t="s">
        <v>28</v>
      </c>
    </row>
    <row r="44" ht="15.75" customHeight="1">
      <c r="B44" s="38">
        <v>35.0</v>
      </c>
      <c r="C44" s="46" t="s">
        <v>31</v>
      </c>
      <c r="D44" s="30" t="s">
        <v>26</v>
      </c>
      <c r="E44" s="42" t="s">
        <v>27</v>
      </c>
      <c r="F44" s="43">
        <v>10.0</v>
      </c>
      <c r="G44" s="39" t="s">
        <v>28</v>
      </c>
    </row>
    <row r="45" ht="15.75" customHeight="1">
      <c r="B45" s="38">
        <v>36.0</v>
      </c>
      <c r="C45" s="46" t="s">
        <v>31</v>
      </c>
      <c r="D45" s="30" t="s">
        <v>26</v>
      </c>
      <c r="E45" s="42" t="s">
        <v>27</v>
      </c>
      <c r="F45" s="43">
        <v>10.0</v>
      </c>
      <c r="G45" s="39" t="s">
        <v>28</v>
      </c>
    </row>
    <row r="46" ht="15.75" customHeight="1">
      <c r="B46" s="38">
        <v>37.0</v>
      </c>
      <c r="C46" s="46" t="s">
        <v>31</v>
      </c>
      <c r="D46" s="30" t="s">
        <v>26</v>
      </c>
      <c r="E46" s="42" t="s">
        <v>27</v>
      </c>
      <c r="F46" s="43">
        <v>10.0</v>
      </c>
      <c r="G46" s="39" t="s">
        <v>28</v>
      </c>
    </row>
    <row r="47" ht="15.75" customHeight="1">
      <c r="B47" s="38">
        <v>38.0</v>
      </c>
      <c r="C47" s="46" t="s">
        <v>31</v>
      </c>
      <c r="D47" s="30" t="s">
        <v>26</v>
      </c>
      <c r="E47" s="42" t="s">
        <v>27</v>
      </c>
      <c r="F47" s="43">
        <v>10.0</v>
      </c>
      <c r="G47" s="39" t="s">
        <v>28</v>
      </c>
    </row>
    <row r="48" ht="15.75" customHeight="1">
      <c r="B48" s="38">
        <v>39.0</v>
      </c>
      <c r="C48" s="46" t="s">
        <v>31</v>
      </c>
      <c r="D48" s="30" t="s">
        <v>26</v>
      </c>
      <c r="E48" s="42" t="s">
        <v>27</v>
      </c>
      <c r="F48" s="43">
        <v>10.0</v>
      </c>
      <c r="G48" s="39" t="s">
        <v>28</v>
      </c>
    </row>
    <row r="49" ht="15.75" customHeight="1">
      <c r="B49" s="38">
        <v>40.0</v>
      </c>
      <c r="C49" s="46" t="s">
        <v>31</v>
      </c>
      <c r="D49" s="30" t="s">
        <v>26</v>
      </c>
      <c r="E49" s="42" t="s">
        <v>27</v>
      </c>
      <c r="F49" s="43">
        <v>10.0</v>
      </c>
      <c r="G49" s="39" t="s">
        <v>28</v>
      </c>
    </row>
    <row r="50" ht="15.75" customHeight="1">
      <c r="B50" s="38">
        <v>41.0</v>
      </c>
      <c r="C50" s="46" t="s">
        <v>31</v>
      </c>
      <c r="D50" s="30" t="s">
        <v>26</v>
      </c>
      <c r="E50" s="42" t="s">
        <v>27</v>
      </c>
      <c r="F50" s="43">
        <v>10.0</v>
      </c>
      <c r="G50" s="39" t="s">
        <v>28</v>
      </c>
    </row>
    <row r="51" ht="15.75" customHeight="1">
      <c r="B51" s="38">
        <v>42.0</v>
      </c>
      <c r="C51" s="46" t="s">
        <v>31</v>
      </c>
      <c r="D51" s="30" t="s">
        <v>26</v>
      </c>
      <c r="E51" s="42" t="s">
        <v>27</v>
      </c>
      <c r="F51" s="43">
        <v>10.0</v>
      </c>
      <c r="G51" s="39" t="s">
        <v>28</v>
      </c>
    </row>
    <row r="52" ht="15.75" customHeight="1">
      <c r="B52" s="38">
        <v>43.0</v>
      </c>
      <c r="C52" s="47" t="s">
        <v>32</v>
      </c>
      <c r="D52" s="30" t="s">
        <v>26</v>
      </c>
      <c r="E52" s="42" t="s">
        <v>27</v>
      </c>
      <c r="F52" s="43">
        <v>10.0</v>
      </c>
      <c r="G52" s="39" t="s">
        <v>28</v>
      </c>
    </row>
    <row r="53" ht="15.75" customHeight="1">
      <c r="B53" s="38">
        <v>44.0</v>
      </c>
      <c r="C53" s="47" t="s">
        <v>32</v>
      </c>
      <c r="D53" s="30" t="s">
        <v>26</v>
      </c>
      <c r="E53" s="42" t="s">
        <v>27</v>
      </c>
      <c r="F53" s="43">
        <v>10.0</v>
      </c>
      <c r="G53" s="39" t="s">
        <v>28</v>
      </c>
    </row>
    <row r="54" ht="15.75" customHeight="1">
      <c r="B54" s="38">
        <v>45.0</v>
      </c>
      <c r="C54" s="47" t="s">
        <v>32</v>
      </c>
      <c r="D54" s="30" t="s">
        <v>26</v>
      </c>
      <c r="E54" s="42" t="s">
        <v>27</v>
      </c>
      <c r="F54" s="43">
        <v>10.0</v>
      </c>
      <c r="G54" s="39" t="s">
        <v>28</v>
      </c>
    </row>
    <row r="55" ht="15.75" customHeight="1">
      <c r="B55" s="38">
        <v>46.0</v>
      </c>
      <c r="C55" s="47" t="s">
        <v>32</v>
      </c>
      <c r="D55" s="30" t="s">
        <v>26</v>
      </c>
      <c r="E55" s="42" t="s">
        <v>27</v>
      </c>
      <c r="F55" s="43">
        <v>10.0</v>
      </c>
      <c r="G55" s="39" t="s">
        <v>28</v>
      </c>
    </row>
    <row r="56" ht="15.75" customHeight="1">
      <c r="B56" s="38">
        <v>47.0</v>
      </c>
      <c r="C56" s="47" t="s">
        <v>32</v>
      </c>
      <c r="D56" s="30" t="s">
        <v>26</v>
      </c>
      <c r="E56" s="42" t="s">
        <v>27</v>
      </c>
      <c r="F56" s="43">
        <v>10.0</v>
      </c>
      <c r="G56" s="39" t="s">
        <v>28</v>
      </c>
    </row>
    <row r="57" ht="15.75" customHeight="1">
      <c r="B57" s="38">
        <v>48.0</v>
      </c>
      <c r="C57" s="47" t="s">
        <v>32</v>
      </c>
      <c r="D57" s="30" t="s">
        <v>26</v>
      </c>
      <c r="E57" s="42" t="s">
        <v>27</v>
      </c>
      <c r="F57" s="43">
        <v>10.0</v>
      </c>
      <c r="G57" s="39" t="s">
        <v>28</v>
      </c>
    </row>
    <row r="58" ht="15.75" customHeight="1">
      <c r="B58" s="38">
        <v>49.0</v>
      </c>
      <c r="C58" s="47" t="s">
        <v>32</v>
      </c>
      <c r="D58" s="30" t="s">
        <v>26</v>
      </c>
      <c r="E58" s="42" t="s">
        <v>27</v>
      </c>
      <c r="F58" s="43">
        <v>10.0</v>
      </c>
      <c r="G58" s="39" t="s">
        <v>28</v>
      </c>
    </row>
    <row r="59" ht="15.75" customHeight="1">
      <c r="A59" s="38"/>
      <c r="B59" s="38">
        <v>50.0</v>
      </c>
      <c r="C59" s="47" t="s">
        <v>32</v>
      </c>
      <c r="D59" s="30" t="s">
        <v>26</v>
      </c>
      <c r="E59" s="42" t="s">
        <v>27</v>
      </c>
      <c r="F59" s="43">
        <v>10.0</v>
      </c>
      <c r="G59" s="39" t="s">
        <v>28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48"/>
      <c r="T59" s="48"/>
      <c r="U59" s="48"/>
      <c r="V59" s="48"/>
      <c r="W59" s="48"/>
      <c r="X59" s="48"/>
      <c r="Y59" s="48"/>
      <c r="Z59" s="48"/>
      <c r="AA59" s="48"/>
    </row>
    <row r="60" ht="15.75" customHeight="1">
      <c r="B60" s="38">
        <v>51.0</v>
      </c>
      <c r="C60" s="49" t="s">
        <v>33</v>
      </c>
      <c r="D60" s="30" t="s">
        <v>26</v>
      </c>
      <c r="E60" s="42" t="s">
        <v>27</v>
      </c>
      <c r="F60" s="43">
        <v>10.0</v>
      </c>
      <c r="G60" s="39" t="s">
        <v>28</v>
      </c>
    </row>
    <row r="61" ht="15.75" customHeight="1">
      <c r="B61" s="38">
        <v>52.0</v>
      </c>
      <c r="C61" s="49" t="s">
        <v>33</v>
      </c>
      <c r="D61" s="30" t="s">
        <v>26</v>
      </c>
      <c r="E61" s="42" t="s">
        <v>27</v>
      </c>
      <c r="F61" s="43">
        <v>10.0</v>
      </c>
      <c r="G61" s="39" t="s">
        <v>28</v>
      </c>
    </row>
    <row r="62" ht="15.75" customHeight="1">
      <c r="B62" s="38">
        <v>53.0</v>
      </c>
      <c r="C62" s="49" t="s">
        <v>33</v>
      </c>
      <c r="D62" s="30" t="s">
        <v>26</v>
      </c>
      <c r="E62" s="42" t="s">
        <v>27</v>
      </c>
      <c r="F62" s="43">
        <v>10.0</v>
      </c>
      <c r="G62" s="39" t="s">
        <v>28</v>
      </c>
    </row>
    <row r="63" ht="15.75" customHeight="1">
      <c r="B63" s="38">
        <v>54.0</v>
      </c>
      <c r="C63" s="49" t="s">
        <v>33</v>
      </c>
      <c r="D63" s="30" t="s">
        <v>26</v>
      </c>
      <c r="E63" s="42" t="s">
        <v>27</v>
      </c>
      <c r="F63" s="43">
        <v>10.0</v>
      </c>
      <c r="G63" s="39" t="s">
        <v>28</v>
      </c>
    </row>
    <row r="64" ht="15.75" customHeight="1">
      <c r="B64" s="38">
        <v>55.0</v>
      </c>
      <c r="C64" s="49" t="s">
        <v>33</v>
      </c>
      <c r="D64" s="30" t="s">
        <v>26</v>
      </c>
      <c r="E64" s="42" t="s">
        <v>27</v>
      </c>
      <c r="F64" s="43">
        <v>10.0</v>
      </c>
      <c r="G64" s="39" t="s">
        <v>28</v>
      </c>
    </row>
    <row r="65" ht="15.75" customHeight="1">
      <c r="B65" s="38">
        <v>56.0</v>
      </c>
      <c r="C65" s="49" t="s">
        <v>33</v>
      </c>
      <c r="D65" s="30" t="s">
        <v>26</v>
      </c>
      <c r="E65" s="42" t="s">
        <v>27</v>
      </c>
      <c r="F65" s="43">
        <v>10.0</v>
      </c>
      <c r="G65" s="39" t="s">
        <v>28</v>
      </c>
    </row>
    <row r="66" ht="15.75" customHeight="1">
      <c r="B66" s="38">
        <v>57.0</v>
      </c>
      <c r="C66" s="49" t="s">
        <v>33</v>
      </c>
      <c r="D66" s="30" t="s">
        <v>26</v>
      </c>
      <c r="E66" s="42" t="s">
        <v>27</v>
      </c>
      <c r="F66" s="43">
        <v>10.0</v>
      </c>
      <c r="G66" s="39" t="s">
        <v>28</v>
      </c>
    </row>
    <row r="67" ht="15.75" customHeight="1">
      <c r="B67" s="38">
        <v>58.0</v>
      </c>
      <c r="C67" s="49" t="s">
        <v>33</v>
      </c>
      <c r="D67" s="30" t="s">
        <v>26</v>
      </c>
      <c r="E67" s="42" t="s">
        <v>27</v>
      </c>
      <c r="F67" s="43">
        <v>10.0</v>
      </c>
      <c r="G67" s="39" t="s">
        <v>28</v>
      </c>
    </row>
    <row r="68" ht="15.75" customHeight="1">
      <c r="B68" s="38">
        <v>59.0</v>
      </c>
      <c r="C68" s="49" t="s">
        <v>33</v>
      </c>
      <c r="D68" s="30" t="s">
        <v>26</v>
      </c>
      <c r="E68" s="42" t="s">
        <v>27</v>
      </c>
      <c r="F68" s="43">
        <v>10.0</v>
      </c>
      <c r="G68" s="39" t="s">
        <v>28</v>
      </c>
    </row>
    <row r="69" ht="15.75" customHeight="1">
      <c r="B69" s="38">
        <v>60.0</v>
      </c>
      <c r="C69" s="49" t="s">
        <v>33</v>
      </c>
      <c r="D69" s="30" t="s">
        <v>26</v>
      </c>
      <c r="E69" s="42" t="s">
        <v>27</v>
      </c>
      <c r="F69" s="43">
        <v>10.0</v>
      </c>
      <c r="G69" s="39" t="s">
        <v>28</v>
      </c>
    </row>
    <row r="70" ht="15.75" customHeight="1">
      <c r="B70" s="38">
        <v>61.0</v>
      </c>
      <c r="C70" s="49" t="s">
        <v>33</v>
      </c>
      <c r="D70" s="30" t="s">
        <v>26</v>
      </c>
      <c r="E70" s="42" t="s">
        <v>27</v>
      </c>
      <c r="F70" s="43">
        <v>10.0</v>
      </c>
      <c r="G70" s="39" t="s">
        <v>28</v>
      </c>
    </row>
    <row r="71" ht="15.75" customHeight="1">
      <c r="B71" s="38">
        <v>62.0</v>
      </c>
      <c r="C71" s="49" t="s">
        <v>33</v>
      </c>
      <c r="D71" s="30" t="s">
        <v>26</v>
      </c>
      <c r="E71" s="42" t="s">
        <v>27</v>
      </c>
      <c r="F71" s="43">
        <v>10.0</v>
      </c>
      <c r="G71" s="39" t="s">
        <v>28</v>
      </c>
    </row>
    <row r="72" ht="15.75" customHeight="1">
      <c r="B72" s="38">
        <v>63.0</v>
      </c>
      <c r="C72" s="49" t="s">
        <v>33</v>
      </c>
      <c r="D72" s="30" t="s">
        <v>26</v>
      </c>
      <c r="E72" s="42" t="s">
        <v>27</v>
      </c>
      <c r="F72" s="43">
        <v>10.0</v>
      </c>
      <c r="G72" s="39" t="s">
        <v>28</v>
      </c>
    </row>
    <row r="73" ht="15.75" customHeight="1">
      <c r="B73" s="38">
        <v>64.0</v>
      </c>
      <c r="C73" s="49" t="s">
        <v>33</v>
      </c>
      <c r="D73" s="30" t="s">
        <v>26</v>
      </c>
      <c r="E73" s="42" t="s">
        <v>27</v>
      </c>
      <c r="F73" s="43">
        <v>10.0</v>
      </c>
      <c r="G73" s="39" t="s">
        <v>28</v>
      </c>
    </row>
    <row r="74" ht="15.75" customHeight="1">
      <c r="B74" s="38">
        <v>65.0</v>
      </c>
      <c r="C74" s="49" t="s">
        <v>33</v>
      </c>
      <c r="D74" s="30" t="s">
        <v>26</v>
      </c>
      <c r="E74" s="42" t="s">
        <v>27</v>
      </c>
      <c r="F74" s="43">
        <v>10.0</v>
      </c>
      <c r="G74" s="39" t="s">
        <v>28</v>
      </c>
    </row>
    <row r="75" ht="15.75" customHeight="1">
      <c r="B75" s="38">
        <v>66.0</v>
      </c>
      <c r="C75" s="40" t="s">
        <v>34</v>
      </c>
      <c r="D75" s="30" t="s">
        <v>26</v>
      </c>
      <c r="E75" s="42" t="s">
        <v>27</v>
      </c>
      <c r="F75" s="43">
        <v>10.0</v>
      </c>
      <c r="G75" s="39" t="s">
        <v>28</v>
      </c>
    </row>
    <row r="76" ht="15.75" customHeight="1">
      <c r="B76" s="38">
        <v>67.0</v>
      </c>
      <c r="C76" s="40" t="s">
        <v>34</v>
      </c>
      <c r="D76" s="30" t="s">
        <v>26</v>
      </c>
      <c r="E76" s="42" t="s">
        <v>27</v>
      </c>
      <c r="F76" s="43">
        <v>10.0</v>
      </c>
      <c r="G76" s="39" t="s">
        <v>28</v>
      </c>
    </row>
    <row r="77" ht="15.75" customHeight="1">
      <c r="B77" s="38">
        <v>68.0</v>
      </c>
      <c r="C77" s="40" t="s">
        <v>34</v>
      </c>
      <c r="D77" s="30" t="s">
        <v>26</v>
      </c>
      <c r="E77" s="42" t="s">
        <v>27</v>
      </c>
      <c r="F77" s="43">
        <v>10.0</v>
      </c>
      <c r="G77" s="39" t="s">
        <v>28</v>
      </c>
    </row>
    <row r="78" ht="15.75" customHeight="1">
      <c r="B78" s="38">
        <v>69.0</v>
      </c>
      <c r="C78" s="40" t="s">
        <v>34</v>
      </c>
      <c r="D78" s="30" t="s">
        <v>26</v>
      </c>
      <c r="E78" s="42" t="s">
        <v>27</v>
      </c>
      <c r="F78" s="43">
        <v>10.0</v>
      </c>
      <c r="G78" s="39" t="s">
        <v>28</v>
      </c>
    </row>
    <row r="79" ht="15.75" customHeight="1">
      <c r="B79" s="38">
        <v>70.0</v>
      </c>
      <c r="C79" s="40" t="s">
        <v>34</v>
      </c>
      <c r="D79" s="30" t="s">
        <v>26</v>
      </c>
      <c r="E79" s="42" t="s">
        <v>27</v>
      </c>
      <c r="F79" s="43">
        <v>10.0</v>
      </c>
      <c r="G79" s="39" t="s">
        <v>28</v>
      </c>
    </row>
    <row r="80" ht="15.75" customHeight="1">
      <c r="B80" s="38">
        <v>71.0</v>
      </c>
      <c r="C80" s="40" t="s">
        <v>34</v>
      </c>
      <c r="D80" s="30" t="s">
        <v>26</v>
      </c>
      <c r="E80" s="42" t="s">
        <v>27</v>
      </c>
      <c r="F80" s="43">
        <v>10.0</v>
      </c>
      <c r="G80" s="39" t="s">
        <v>28</v>
      </c>
    </row>
    <row r="81" ht="15.75" customHeight="1">
      <c r="C81" s="40"/>
    </row>
    <row r="82" ht="15.75" customHeight="1">
      <c r="C82" s="40"/>
    </row>
    <row r="83" ht="15.75" customHeight="1">
      <c r="C83" s="50"/>
    </row>
    <row r="84" ht="15.75" customHeight="1">
      <c r="C84" s="50"/>
    </row>
    <row r="85" ht="15.75" customHeight="1">
      <c r="C85" s="50"/>
    </row>
    <row r="86" ht="15.75" customHeight="1">
      <c r="C86" s="50"/>
    </row>
    <row r="87" ht="15.75" customHeight="1">
      <c r="C87" s="50"/>
    </row>
    <row r="88" ht="15.75" customHeight="1">
      <c r="C88" s="50"/>
    </row>
    <row r="89" ht="15.75" customHeight="1">
      <c r="C89" s="50"/>
    </row>
    <row r="90" ht="15.75" customHeight="1">
      <c r="C90" s="50"/>
    </row>
    <row r="91" ht="15.75" customHeight="1">
      <c r="C91" s="50"/>
    </row>
    <row r="92" ht="15.75" customHeight="1">
      <c r="C92" s="50"/>
    </row>
    <row r="93" ht="15.75" customHeight="1">
      <c r="C93" s="50"/>
    </row>
    <row r="94" ht="15.75" customHeight="1">
      <c r="C94" s="50"/>
    </row>
    <row r="95" ht="15.75" customHeight="1">
      <c r="C95" s="50"/>
    </row>
    <row r="96" ht="15.75" customHeight="1">
      <c r="C96" s="50"/>
    </row>
    <row r="97" ht="15.75" customHeight="1">
      <c r="C97" s="50"/>
    </row>
    <row r="98" ht="15.75" customHeight="1">
      <c r="C98" s="50"/>
    </row>
    <row r="99" ht="15.75" customHeight="1">
      <c r="C99" s="50"/>
    </row>
    <row r="100" ht="15.75" customHeight="1">
      <c r="C100" s="50"/>
    </row>
    <row r="101" ht="15.75" customHeight="1">
      <c r="C101" s="50"/>
    </row>
    <row r="102" ht="15.75" customHeight="1">
      <c r="C102" s="50"/>
    </row>
    <row r="103" ht="15.75" customHeight="1">
      <c r="C103" s="50"/>
    </row>
    <row r="104" ht="15.75" customHeight="1">
      <c r="C104" s="50"/>
    </row>
    <row r="105" ht="15.75" customHeight="1">
      <c r="C105" s="5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C2:K2"/>
    <mergeCell ref="C4:F4"/>
    <mergeCell ref="G4:H4"/>
    <mergeCell ref="C5:F5"/>
    <mergeCell ref="G5:H5"/>
    <mergeCell ref="C7:D7"/>
    <mergeCell ref="E7:L7"/>
    <mergeCell ref="M7:M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2.63"/>
    <col customWidth="1" min="3" max="3" width="21.0"/>
    <col customWidth="1" min="4" max="5" width="12.63"/>
    <col customWidth="1" min="6" max="6" width="35.13"/>
  </cols>
  <sheetData>
    <row r="1" ht="15.75" customHeight="1"/>
    <row r="2" ht="15.75" customHeight="1">
      <c r="B2" s="51" t="s">
        <v>35</v>
      </c>
      <c r="C2" s="52"/>
      <c r="D2" s="53" t="s">
        <v>36</v>
      </c>
      <c r="E2" s="54"/>
      <c r="F2" s="55" t="s">
        <v>37</v>
      </c>
    </row>
    <row r="3" ht="15.75" customHeight="1">
      <c r="B3" s="56" t="s">
        <v>38</v>
      </c>
      <c r="C3" s="57"/>
      <c r="D3" s="58">
        <f>Transacciones!F9</f>
        <v>921.05</v>
      </c>
      <c r="E3" s="59"/>
      <c r="F3" s="60"/>
    </row>
    <row r="4" ht="15.75" customHeight="1">
      <c r="B4" s="61" t="s">
        <v>39</v>
      </c>
      <c r="C4" s="62"/>
      <c r="D4" s="63">
        <f>D102</f>
        <v>640</v>
      </c>
      <c r="E4" s="64"/>
      <c r="F4" s="65"/>
    </row>
    <row r="5" ht="15.75" customHeight="1">
      <c r="B5" s="61" t="s">
        <v>40</v>
      </c>
      <c r="C5" s="62"/>
      <c r="D5" s="63">
        <f>D32</f>
        <v>0</v>
      </c>
      <c r="E5" s="64"/>
      <c r="F5" s="66"/>
    </row>
    <row r="6" ht="15.75" customHeight="1">
      <c r="B6" s="67" t="s">
        <v>41</v>
      </c>
      <c r="D6" s="68">
        <f>D25</f>
        <v>483.17</v>
      </c>
      <c r="E6" s="1"/>
      <c r="F6" s="69"/>
    </row>
    <row r="7" ht="15.75" customHeight="1">
      <c r="B7" s="70" t="s">
        <v>42</v>
      </c>
      <c r="C7" s="71"/>
      <c r="D7" s="72">
        <f>D3+D4-D6</f>
        <v>1077.88</v>
      </c>
      <c r="E7" s="73"/>
      <c r="F7" s="74"/>
    </row>
    <row r="8" ht="15.75" customHeight="1">
      <c r="B8" s="1"/>
      <c r="C8" s="1"/>
      <c r="D8" s="1"/>
      <c r="E8" s="1"/>
      <c r="F8" s="1"/>
    </row>
    <row r="9" ht="15.75" customHeight="1">
      <c r="B9" s="1"/>
      <c r="C9" s="75" t="s">
        <v>43</v>
      </c>
      <c r="D9" s="1"/>
    </row>
    <row r="10" ht="15.75" customHeight="1">
      <c r="B10" s="76" t="s">
        <v>44</v>
      </c>
      <c r="C10" s="77" t="s">
        <v>45</v>
      </c>
      <c r="D10" s="77" t="s">
        <v>36</v>
      </c>
      <c r="E10" s="77" t="s">
        <v>46</v>
      </c>
      <c r="F10" s="55" t="s">
        <v>47</v>
      </c>
    </row>
    <row r="11" ht="15.75" customHeight="1">
      <c r="B11" s="78"/>
      <c r="C11" s="79"/>
      <c r="D11" s="80">
        <f>Transacciones!F10</f>
        <v>50</v>
      </c>
      <c r="E11" s="81"/>
      <c r="F11" s="66"/>
    </row>
    <row r="12" ht="15.75" customHeight="1">
      <c r="B12" s="78"/>
      <c r="C12" s="79"/>
      <c r="D12" s="80">
        <f>Transacciones!F11</f>
        <v>120</v>
      </c>
      <c r="E12" s="81"/>
      <c r="F12" s="66"/>
    </row>
    <row r="13" ht="15.75" customHeight="1">
      <c r="B13" s="78"/>
      <c r="C13" s="79"/>
      <c r="D13" s="80">
        <f>Transacciones!F12</f>
        <v>120</v>
      </c>
      <c r="E13" s="81"/>
      <c r="F13" s="66"/>
    </row>
    <row r="14" ht="15.75" customHeight="1">
      <c r="B14" s="78"/>
      <c r="C14" s="79"/>
      <c r="D14" s="80">
        <f>Transacciones!F34</f>
        <v>50</v>
      </c>
      <c r="E14" s="81"/>
      <c r="F14" s="66"/>
    </row>
    <row r="15" ht="15.75" customHeight="1">
      <c r="B15" s="78"/>
      <c r="C15" s="79"/>
      <c r="D15" s="80">
        <f>Transacciones!F35</f>
        <v>12</v>
      </c>
      <c r="E15" s="81"/>
      <c r="F15" s="66"/>
    </row>
    <row r="16" ht="15.75" customHeight="1">
      <c r="B16" s="78"/>
      <c r="C16" s="79"/>
      <c r="D16" s="80">
        <f>Transacciones!F36</f>
        <v>37.9</v>
      </c>
      <c r="E16" s="81"/>
      <c r="F16" s="66"/>
    </row>
    <row r="17" ht="15.75" customHeight="1">
      <c r="B17" s="78"/>
      <c r="C17" s="79"/>
      <c r="D17" s="80">
        <f>Transacciones!F37</f>
        <v>93.27</v>
      </c>
      <c r="E17" s="81"/>
      <c r="F17" s="66"/>
    </row>
    <row r="18" ht="15.75" customHeight="1">
      <c r="B18" s="78"/>
      <c r="C18" s="79"/>
      <c r="D18" s="80"/>
      <c r="E18" s="81"/>
      <c r="F18" s="66"/>
    </row>
    <row r="19" ht="15.75" customHeight="1">
      <c r="B19" s="78"/>
      <c r="C19" s="79"/>
      <c r="D19" s="80"/>
      <c r="E19" s="81"/>
      <c r="F19" s="66"/>
    </row>
    <row r="20" ht="15.75" customHeight="1">
      <c r="B20" s="78"/>
      <c r="C20" s="79"/>
      <c r="D20" s="80"/>
      <c r="E20" s="81"/>
      <c r="F20" s="66"/>
    </row>
    <row r="21" ht="15.75" customHeight="1">
      <c r="B21" s="78"/>
      <c r="C21" s="79"/>
      <c r="D21" s="80"/>
      <c r="E21" s="81"/>
      <c r="F21" s="66"/>
    </row>
    <row r="22" ht="15.75" customHeight="1">
      <c r="B22" s="78"/>
      <c r="C22" s="79"/>
      <c r="D22" s="80"/>
      <c r="E22" s="81"/>
      <c r="F22" s="66"/>
    </row>
    <row r="23" ht="15.75" customHeight="1">
      <c r="B23" s="78"/>
      <c r="C23" s="79"/>
      <c r="D23" s="80"/>
      <c r="E23" s="81"/>
      <c r="F23" s="66"/>
    </row>
    <row r="24" ht="15.75" customHeight="1">
      <c r="B24" s="82"/>
      <c r="C24" s="82"/>
      <c r="D24" s="81"/>
      <c r="E24" s="81"/>
      <c r="F24" s="66"/>
    </row>
    <row r="25" ht="15.75" customHeight="1">
      <c r="B25" s="83" t="s">
        <v>48</v>
      </c>
      <c r="C25" s="71"/>
      <c r="D25" s="72">
        <f>SUM(D11:D24)</f>
        <v>483.17</v>
      </c>
      <c r="E25" s="73"/>
      <c r="F25" s="74"/>
    </row>
    <row r="26" ht="15.75" customHeight="1">
      <c r="B26" s="1"/>
      <c r="C26" s="1"/>
      <c r="D26" s="1"/>
      <c r="E26" s="1"/>
      <c r="F26" s="1"/>
    </row>
    <row r="27" ht="15.75" customHeight="1">
      <c r="B27" s="1"/>
      <c r="C27" s="1"/>
      <c r="D27" s="1"/>
      <c r="E27" s="1"/>
      <c r="F27" s="1"/>
    </row>
    <row r="28" ht="15.75" customHeight="1">
      <c r="B28" s="1"/>
      <c r="C28" s="75" t="s">
        <v>49</v>
      </c>
      <c r="D28" s="84" t="s">
        <v>50</v>
      </c>
      <c r="E28" s="1"/>
      <c r="F28" s="1"/>
    </row>
    <row r="29" ht="15.75" customHeight="1">
      <c r="B29" s="76" t="s">
        <v>44</v>
      </c>
      <c r="C29" s="77" t="s">
        <v>45</v>
      </c>
      <c r="D29" s="77" t="s">
        <v>36</v>
      </c>
      <c r="E29" s="77" t="s">
        <v>46</v>
      </c>
      <c r="F29" s="55" t="s">
        <v>47</v>
      </c>
    </row>
    <row r="30" ht="15.75" customHeight="1">
      <c r="B30" s="85"/>
      <c r="C30" s="82"/>
      <c r="D30" s="86">
        <v>0.0</v>
      </c>
      <c r="E30" s="81"/>
      <c r="F30" s="66"/>
    </row>
    <row r="31" ht="15.75" customHeight="1">
      <c r="B31" s="85"/>
      <c r="C31" s="87"/>
      <c r="D31" s="86">
        <v>0.0</v>
      </c>
      <c r="E31" s="81"/>
      <c r="F31" s="66"/>
    </row>
    <row r="32" ht="15.75" customHeight="1">
      <c r="B32" s="88" t="s">
        <v>51</v>
      </c>
      <c r="C32" s="71"/>
      <c r="D32" s="72">
        <f>D30+D31</f>
        <v>0</v>
      </c>
      <c r="E32" s="73"/>
      <c r="F32" s="74"/>
    </row>
    <row r="33" ht="15.75" customHeight="1">
      <c r="B33" s="1"/>
      <c r="C33" s="1"/>
      <c r="D33" s="1"/>
      <c r="E33" s="1"/>
      <c r="F33" s="1"/>
    </row>
    <row r="34" ht="15.75" customHeight="1">
      <c r="B34" s="1"/>
      <c r="C34" s="1"/>
      <c r="D34" s="1"/>
      <c r="E34" s="1"/>
      <c r="F34" s="1"/>
    </row>
    <row r="35" ht="15.75" customHeight="1">
      <c r="B35" s="1"/>
      <c r="C35" s="75" t="s">
        <v>52</v>
      </c>
      <c r="D35" s="1"/>
      <c r="E35" s="1"/>
      <c r="F35" s="1"/>
    </row>
    <row r="36" ht="15.75" customHeight="1">
      <c r="B36" s="76" t="s">
        <v>44</v>
      </c>
      <c r="C36" s="77" t="s">
        <v>45</v>
      </c>
      <c r="D36" s="77" t="s">
        <v>36</v>
      </c>
      <c r="E36" s="77" t="s">
        <v>46</v>
      </c>
      <c r="F36" s="55" t="s">
        <v>47</v>
      </c>
    </row>
    <row r="37" ht="15.75" customHeight="1">
      <c r="B37" s="89"/>
      <c r="C37" s="90" t="str">
        <f>Transacciones!G13</f>
        <v>Ingreso por pago de fee</v>
      </c>
      <c r="D37" s="86">
        <f>Transacciones!F13</f>
        <v>10</v>
      </c>
      <c r="E37" s="81" t="s">
        <v>53</v>
      </c>
      <c r="F37" s="66"/>
    </row>
    <row r="38" ht="15.75" customHeight="1">
      <c r="B38" s="89"/>
      <c r="C38" s="90" t="str">
        <f>Transacciones!G14</f>
        <v>Ingreso por pago de fee</v>
      </c>
      <c r="D38" s="86">
        <f>Transacciones!F14</f>
        <v>10</v>
      </c>
      <c r="E38" s="81" t="s">
        <v>53</v>
      </c>
      <c r="F38" s="66"/>
    </row>
    <row r="39" ht="15.75" customHeight="1">
      <c r="B39" s="89"/>
      <c r="C39" s="90" t="str">
        <f>Transacciones!G15</f>
        <v>Ingreso por pago de fee</v>
      </c>
      <c r="D39" s="86">
        <f>Transacciones!F15</f>
        <v>10</v>
      </c>
      <c r="E39" s="81" t="s">
        <v>53</v>
      </c>
      <c r="F39" s="66"/>
    </row>
    <row r="40" ht="15.75" customHeight="1">
      <c r="B40" s="89"/>
      <c r="C40" s="90" t="str">
        <f>Transacciones!G16</f>
        <v>Ingreso por pago de fee</v>
      </c>
      <c r="D40" s="86">
        <f>Transacciones!F16</f>
        <v>10</v>
      </c>
      <c r="E40" s="81" t="s">
        <v>53</v>
      </c>
      <c r="F40" s="66"/>
    </row>
    <row r="41" ht="15.75" customHeight="1">
      <c r="B41" s="89"/>
      <c r="C41" s="90" t="str">
        <f>Transacciones!G17</f>
        <v>Ingreso por pago de fee</v>
      </c>
      <c r="D41" s="86">
        <f>Transacciones!F17</f>
        <v>10</v>
      </c>
      <c r="E41" s="81" t="s">
        <v>53</v>
      </c>
      <c r="F41" s="66"/>
    </row>
    <row r="42" ht="15.75" customHeight="1">
      <c r="B42" s="89"/>
      <c r="C42" s="90" t="str">
        <f>Transacciones!G18</f>
        <v>Ingreso por pago de fee</v>
      </c>
      <c r="D42" s="86">
        <f>Transacciones!F18</f>
        <v>10</v>
      </c>
      <c r="E42" s="81" t="s">
        <v>53</v>
      </c>
      <c r="F42" s="66"/>
    </row>
    <row r="43" ht="15.75" customHeight="1">
      <c r="B43" s="89"/>
      <c r="C43" s="90" t="str">
        <f>Transacciones!G19</f>
        <v>Ingreso por pago de fee</v>
      </c>
      <c r="D43" s="86">
        <f>Transacciones!F19</f>
        <v>10</v>
      </c>
      <c r="E43" s="81" t="s">
        <v>53</v>
      </c>
      <c r="F43" s="66"/>
    </row>
    <row r="44" ht="15.75" customHeight="1">
      <c r="B44" s="89"/>
      <c r="C44" s="90" t="str">
        <f>Transacciones!G20</f>
        <v>Ingreso por pago de fee</v>
      </c>
      <c r="D44" s="86">
        <f>Transacciones!F20</f>
        <v>10</v>
      </c>
      <c r="E44" s="81" t="s">
        <v>53</v>
      </c>
      <c r="F44" s="66"/>
    </row>
    <row r="45" ht="15.75" customHeight="1">
      <c r="B45" s="89"/>
      <c r="C45" s="90" t="str">
        <f>Transacciones!G21</f>
        <v>Ingreso por pago de fee</v>
      </c>
      <c r="D45" s="86">
        <f>Transacciones!F21</f>
        <v>10</v>
      </c>
      <c r="E45" s="81" t="s">
        <v>53</v>
      </c>
      <c r="F45" s="66"/>
    </row>
    <row r="46" ht="15.75" customHeight="1">
      <c r="B46" s="89"/>
      <c r="C46" s="90" t="str">
        <f>Transacciones!G22</f>
        <v>Ingreso por pago de fee</v>
      </c>
      <c r="D46" s="86">
        <f>Transacciones!F22</f>
        <v>10</v>
      </c>
      <c r="E46" s="81" t="s">
        <v>53</v>
      </c>
      <c r="F46" s="66"/>
    </row>
    <row r="47" ht="15.75" customHeight="1">
      <c r="B47" s="89"/>
      <c r="C47" s="90" t="str">
        <f>Transacciones!G23</f>
        <v>Ingreso por pago de fee</v>
      </c>
      <c r="D47" s="86">
        <f>Transacciones!F23</f>
        <v>10</v>
      </c>
      <c r="E47" s="81" t="s">
        <v>53</v>
      </c>
      <c r="F47" s="66"/>
    </row>
    <row r="48" ht="15.75" customHeight="1">
      <c r="B48" s="89"/>
      <c r="C48" s="90" t="str">
        <f>Transacciones!G24</f>
        <v>Ingreso por pago de fee</v>
      </c>
      <c r="D48" s="86">
        <f>Transacciones!F24</f>
        <v>10</v>
      </c>
      <c r="E48" s="81" t="s">
        <v>53</v>
      </c>
      <c r="F48" s="66"/>
    </row>
    <row r="49" ht="15.75" customHeight="1">
      <c r="B49" s="89"/>
      <c r="C49" s="90" t="str">
        <f>Transacciones!G25</f>
        <v>Ingreso por pago de fee</v>
      </c>
      <c r="D49" s="86">
        <f>Transacciones!F25</f>
        <v>10</v>
      </c>
      <c r="E49" s="81" t="s">
        <v>53</v>
      </c>
      <c r="F49" s="66"/>
    </row>
    <row r="50" ht="15.75" customHeight="1">
      <c r="B50" s="89"/>
      <c r="C50" s="90" t="str">
        <f>Transacciones!G26</f>
        <v>Ingreso por pago de fee</v>
      </c>
      <c r="D50" s="86">
        <f>Transacciones!F26</f>
        <v>10</v>
      </c>
      <c r="E50" s="81" t="s">
        <v>53</v>
      </c>
      <c r="F50" s="66"/>
    </row>
    <row r="51" ht="15.75" customHeight="1">
      <c r="B51" s="89"/>
      <c r="C51" s="90" t="str">
        <f>Transacciones!G27</f>
        <v>Ingreso por pago de fee</v>
      </c>
      <c r="D51" s="86">
        <f>Transacciones!F27</f>
        <v>10</v>
      </c>
      <c r="E51" s="81" t="s">
        <v>53</v>
      </c>
      <c r="F51" s="66"/>
    </row>
    <row r="52" ht="15.75" customHeight="1">
      <c r="B52" s="89"/>
      <c r="C52" s="90" t="str">
        <f>Transacciones!G28</f>
        <v>Ingreso por pago de fee</v>
      </c>
      <c r="D52" s="86">
        <f>Transacciones!F28</f>
        <v>10</v>
      </c>
      <c r="E52" s="81" t="s">
        <v>53</v>
      </c>
      <c r="F52" s="66"/>
    </row>
    <row r="53" ht="15.75" customHeight="1">
      <c r="B53" s="89"/>
      <c r="C53" s="90" t="str">
        <f>Transacciones!G29</f>
        <v>Ingreso por pago de fee</v>
      </c>
      <c r="D53" s="86">
        <f>Transacciones!F29</f>
        <v>10</v>
      </c>
      <c r="E53" s="81" t="s">
        <v>53</v>
      </c>
      <c r="F53" s="66"/>
    </row>
    <row r="54" ht="15.75" customHeight="1">
      <c r="B54" s="89"/>
      <c r="C54" s="90" t="str">
        <f>Transacciones!G30</f>
        <v>Ingreso por pago de fee</v>
      </c>
      <c r="D54" s="86">
        <f>Transacciones!F30</f>
        <v>10</v>
      </c>
      <c r="E54" s="81" t="s">
        <v>53</v>
      </c>
      <c r="F54" s="66"/>
    </row>
    <row r="55" ht="15.75" customHeight="1">
      <c r="B55" s="89"/>
      <c r="C55" s="90" t="str">
        <f>Transacciones!G31</f>
        <v>Ingreso por pago de fee</v>
      </c>
      <c r="D55" s="86">
        <f>Transacciones!F31</f>
        <v>10</v>
      </c>
      <c r="E55" s="81" t="s">
        <v>53</v>
      </c>
      <c r="F55" s="66"/>
    </row>
    <row r="56" ht="15.75" customHeight="1">
      <c r="B56" s="89"/>
      <c r="C56" s="90" t="str">
        <f>Transacciones!G32</f>
        <v>Ingreso por pago de fee</v>
      </c>
      <c r="D56" s="86">
        <f>Transacciones!F32</f>
        <v>10</v>
      </c>
      <c r="E56" s="81" t="s">
        <v>53</v>
      </c>
      <c r="F56" s="66"/>
    </row>
    <row r="57" ht="15.75" customHeight="1">
      <c r="B57" s="89"/>
      <c r="C57" s="90" t="str">
        <f>Transacciones!G33</f>
        <v>Ingreso por pago de fee</v>
      </c>
      <c r="D57" s="86">
        <f>Transacciones!F33</f>
        <v>10</v>
      </c>
      <c r="E57" s="81" t="s">
        <v>53</v>
      </c>
      <c r="F57" s="66"/>
    </row>
    <row r="58" ht="15.75" customHeight="1">
      <c r="B58" s="89"/>
      <c r="C58" s="90" t="str">
        <f>Transacciones!G38</f>
        <v>Ingreso por pago de fee</v>
      </c>
      <c r="D58" s="86">
        <f>Transacciones!F38</f>
        <v>10</v>
      </c>
      <c r="E58" s="81" t="s">
        <v>53</v>
      </c>
      <c r="F58" s="66"/>
    </row>
    <row r="59" ht="15.75" customHeight="1">
      <c r="B59" s="89"/>
      <c r="C59" s="90" t="str">
        <f>Transacciones!G39</f>
        <v>Ingreso por pago de fee</v>
      </c>
      <c r="D59" s="86">
        <f>Transacciones!F39</f>
        <v>10</v>
      </c>
      <c r="E59" s="81" t="s">
        <v>53</v>
      </c>
      <c r="F59" s="66"/>
    </row>
    <row r="60" ht="15.75" customHeight="1">
      <c r="B60" s="89"/>
      <c r="C60" s="90" t="str">
        <f>Transacciones!G40</f>
        <v>Ingreso por pago de fee</v>
      </c>
      <c r="D60" s="86">
        <f>Transacciones!F40</f>
        <v>10</v>
      </c>
      <c r="E60" s="81" t="s">
        <v>53</v>
      </c>
      <c r="F60" s="66"/>
    </row>
    <row r="61" ht="15.75" customHeight="1">
      <c r="B61" s="89"/>
      <c r="C61" s="90" t="str">
        <f>Transacciones!G41</f>
        <v>Ingreso por pago de fee</v>
      </c>
      <c r="D61" s="86">
        <f>Transacciones!F41</f>
        <v>10</v>
      </c>
      <c r="E61" s="81" t="s">
        <v>53</v>
      </c>
      <c r="F61" s="66"/>
    </row>
    <row r="62" ht="15.75" customHeight="1">
      <c r="B62" s="89"/>
      <c r="C62" s="90" t="str">
        <f>Transacciones!G42</f>
        <v>Ingreso por pago de fee</v>
      </c>
      <c r="D62" s="86">
        <f>Transacciones!F42</f>
        <v>10</v>
      </c>
      <c r="E62" s="81" t="s">
        <v>53</v>
      </c>
      <c r="F62" s="66"/>
    </row>
    <row r="63" ht="15.75" customHeight="1">
      <c r="B63" s="89"/>
      <c r="C63" s="90" t="str">
        <f>Transacciones!G43</f>
        <v>Ingreso por pago de fee</v>
      </c>
      <c r="D63" s="86">
        <f>Transacciones!F43</f>
        <v>10</v>
      </c>
      <c r="E63" s="81" t="s">
        <v>53</v>
      </c>
      <c r="F63" s="66"/>
    </row>
    <row r="64" ht="15.75" customHeight="1">
      <c r="B64" s="89"/>
      <c r="C64" s="90" t="str">
        <f>Transacciones!G44</f>
        <v>Ingreso por pago de fee</v>
      </c>
      <c r="D64" s="86">
        <f>Transacciones!F44</f>
        <v>10</v>
      </c>
      <c r="E64" s="81" t="s">
        <v>53</v>
      </c>
      <c r="F64" s="66"/>
    </row>
    <row r="65" ht="15.75" customHeight="1">
      <c r="B65" s="89"/>
      <c r="C65" s="90" t="str">
        <f>Transacciones!G45</f>
        <v>Ingreso por pago de fee</v>
      </c>
      <c r="D65" s="86">
        <f>Transacciones!F45</f>
        <v>10</v>
      </c>
      <c r="E65" s="81" t="s">
        <v>53</v>
      </c>
      <c r="F65" s="66"/>
    </row>
    <row r="66" ht="15.75" customHeight="1">
      <c r="B66" s="89"/>
      <c r="C66" s="90" t="str">
        <f>Transacciones!G46</f>
        <v>Ingreso por pago de fee</v>
      </c>
      <c r="D66" s="86">
        <f>Transacciones!F46</f>
        <v>10</v>
      </c>
      <c r="E66" s="81" t="s">
        <v>53</v>
      </c>
      <c r="F66" s="66"/>
    </row>
    <row r="67" ht="15.75" customHeight="1">
      <c r="B67" s="89"/>
      <c r="C67" s="90" t="str">
        <f>Transacciones!G47</f>
        <v>Ingreso por pago de fee</v>
      </c>
      <c r="D67" s="86">
        <f>Transacciones!F47</f>
        <v>10</v>
      </c>
      <c r="E67" s="81" t="s">
        <v>53</v>
      </c>
      <c r="F67" s="66"/>
    </row>
    <row r="68" ht="15.75" customHeight="1">
      <c r="B68" s="89"/>
      <c r="C68" s="90" t="str">
        <f>Transacciones!G48</f>
        <v>Ingreso por pago de fee</v>
      </c>
      <c r="D68" s="86">
        <f>Transacciones!F48</f>
        <v>10</v>
      </c>
      <c r="E68" s="81" t="s">
        <v>53</v>
      </c>
      <c r="F68" s="66"/>
    </row>
    <row r="69" ht="15.75" customHeight="1">
      <c r="B69" s="89"/>
      <c r="C69" s="90" t="str">
        <f>Transacciones!G49</f>
        <v>Ingreso por pago de fee</v>
      </c>
      <c r="D69" s="86">
        <f>Transacciones!F49</f>
        <v>10</v>
      </c>
      <c r="E69" s="81" t="s">
        <v>53</v>
      </c>
      <c r="F69" s="66"/>
    </row>
    <row r="70" ht="15.75" customHeight="1">
      <c r="B70" s="89"/>
      <c r="C70" s="90" t="str">
        <f>Transacciones!G50</f>
        <v>Ingreso por pago de fee</v>
      </c>
      <c r="D70" s="86">
        <f>Transacciones!F50</f>
        <v>10</v>
      </c>
      <c r="E70" s="81" t="s">
        <v>53</v>
      </c>
      <c r="F70" s="66"/>
    </row>
    <row r="71" ht="15.75" customHeight="1">
      <c r="B71" s="89"/>
      <c r="C71" s="90" t="str">
        <f>Transacciones!G51</f>
        <v>Ingreso por pago de fee</v>
      </c>
      <c r="D71" s="86">
        <f>Transacciones!F51</f>
        <v>10</v>
      </c>
      <c r="E71" s="81" t="s">
        <v>53</v>
      </c>
      <c r="F71" s="66"/>
    </row>
    <row r="72" ht="15.75" customHeight="1">
      <c r="B72" s="89"/>
      <c r="C72" s="90" t="str">
        <f>Transacciones!G52</f>
        <v>Ingreso por pago de fee</v>
      </c>
      <c r="D72" s="86">
        <f>Transacciones!F52</f>
        <v>10</v>
      </c>
      <c r="E72" s="81" t="s">
        <v>53</v>
      </c>
      <c r="F72" s="66"/>
    </row>
    <row r="73" ht="15.75" customHeight="1">
      <c r="B73" s="89"/>
      <c r="C73" s="90" t="str">
        <f>Transacciones!G53</f>
        <v>Ingreso por pago de fee</v>
      </c>
      <c r="D73" s="86">
        <f>Transacciones!F53</f>
        <v>10</v>
      </c>
      <c r="E73" s="81" t="s">
        <v>53</v>
      </c>
      <c r="F73" s="66"/>
    </row>
    <row r="74" ht="15.75" customHeight="1">
      <c r="B74" s="89"/>
      <c r="C74" s="90" t="str">
        <f>Transacciones!G54</f>
        <v>Ingreso por pago de fee</v>
      </c>
      <c r="D74" s="86">
        <f>Transacciones!F54</f>
        <v>10</v>
      </c>
      <c r="E74" s="81" t="s">
        <v>53</v>
      </c>
      <c r="F74" s="66"/>
    </row>
    <row r="75" ht="15.75" customHeight="1">
      <c r="B75" s="89"/>
      <c r="C75" s="90" t="str">
        <f>Transacciones!G55</f>
        <v>Ingreso por pago de fee</v>
      </c>
      <c r="D75" s="86">
        <f>Transacciones!F55</f>
        <v>10</v>
      </c>
      <c r="E75" s="81" t="s">
        <v>53</v>
      </c>
      <c r="F75" s="66"/>
    </row>
    <row r="76" ht="15.75" customHeight="1">
      <c r="B76" s="89"/>
      <c r="C76" s="90" t="str">
        <f>Transacciones!G56</f>
        <v>Ingreso por pago de fee</v>
      </c>
      <c r="D76" s="86">
        <f>Transacciones!F56</f>
        <v>10</v>
      </c>
      <c r="E76" s="81" t="s">
        <v>53</v>
      </c>
      <c r="F76" s="66"/>
    </row>
    <row r="77" ht="15.75" customHeight="1">
      <c r="B77" s="89"/>
      <c r="C77" s="90" t="str">
        <f>Transacciones!G57</f>
        <v>Ingreso por pago de fee</v>
      </c>
      <c r="D77" s="86">
        <f>Transacciones!F57</f>
        <v>10</v>
      </c>
      <c r="E77" s="81" t="s">
        <v>53</v>
      </c>
      <c r="F77" s="66"/>
    </row>
    <row r="78" ht="15.75" customHeight="1">
      <c r="B78" s="89"/>
      <c r="C78" s="90" t="str">
        <f>Transacciones!G58</f>
        <v>Ingreso por pago de fee</v>
      </c>
      <c r="D78" s="86">
        <f>Transacciones!F58</f>
        <v>10</v>
      </c>
      <c r="E78" s="81" t="s">
        <v>53</v>
      </c>
      <c r="F78" s="66"/>
    </row>
    <row r="79" ht="15.75" customHeight="1">
      <c r="B79" s="89"/>
      <c r="C79" s="90" t="str">
        <f>Transacciones!G59</f>
        <v>Ingreso por pago de fee</v>
      </c>
      <c r="D79" s="86">
        <f>Transacciones!F59</f>
        <v>10</v>
      </c>
      <c r="E79" s="81" t="s">
        <v>53</v>
      </c>
      <c r="F79" s="66"/>
    </row>
    <row r="80" ht="15.75" customHeight="1">
      <c r="B80" s="89"/>
      <c r="C80" s="90" t="str">
        <f>Transacciones!G60</f>
        <v>Ingreso por pago de fee</v>
      </c>
      <c r="D80" s="86">
        <f>Transacciones!F60</f>
        <v>10</v>
      </c>
      <c r="E80" s="81" t="s">
        <v>53</v>
      </c>
      <c r="F80" s="66"/>
    </row>
    <row r="81" ht="15.75" customHeight="1">
      <c r="B81" s="89"/>
      <c r="C81" s="90" t="str">
        <f>Transacciones!G61</f>
        <v>Ingreso por pago de fee</v>
      </c>
      <c r="D81" s="86">
        <f>Transacciones!F61</f>
        <v>10</v>
      </c>
      <c r="E81" s="81" t="s">
        <v>53</v>
      </c>
      <c r="F81" s="66"/>
    </row>
    <row r="82" ht="15.75" customHeight="1">
      <c r="B82" s="89"/>
      <c r="C82" s="90" t="str">
        <f>Transacciones!G62</f>
        <v>Ingreso por pago de fee</v>
      </c>
      <c r="D82" s="86">
        <f>Transacciones!F62</f>
        <v>10</v>
      </c>
      <c r="E82" s="81" t="s">
        <v>53</v>
      </c>
      <c r="F82" s="66"/>
    </row>
    <row r="83" ht="15.75" customHeight="1">
      <c r="B83" s="89"/>
      <c r="C83" s="90" t="str">
        <f>Transacciones!G63</f>
        <v>Ingreso por pago de fee</v>
      </c>
      <c r="D83" s="86">
        <f>Transacciones!F63</f>
        <v>10</v>
      </c>
      <c r="E83" s="81" t="s">
        <v>53</v>
      </c>
      <c r="F83" s="66"/>
    </row>
    <row r="84" ht="15.75" customHeight="1">
      <c r="B84" s="89"/>
      <c r="C84" s="90" t="str">
        <f>Transacciones!G64</f>
        <v>Ingreso por pago de fee</v>
      </c>
      <c r="D84" s="86">
        <f>Transacciones!F64</f>
        <v>10</v>
      </c>
      <c r="E84" s="81" t="s">
        <v>53</v>
      </c>
      <c r="F84" s="66"/>
    </row>
    <row r="85" ht="15.75" customHeight="1">
      <c r="B85" s="89"/>
      <c r="C85" s="90" t="str">
        <f>Transacciones!G65</f>
        <v>Ingreso por pago de fee</v>
      </c>
      <c r="D85" s="86">
        <f>Transacciones!F65</f>
        <v>10</v>
      </c>
      <c r="E85" s="81" t="s">
        <v>53</v>
      </c>
      <c r="F85" s="66"/>
    </row>
    <row r="86" ht="15.75" customHeight="1">
      <c r="B86" s="89"/>
      <c r="C86" s="90" t="str">
        <f>Transacciones!G66</f>
        <v>Ingreso por pago de fee</v>
      </c>
      <c r="D86" s="86">
        <f>Transacciones!F66</f>
        <v>10</v>
      </c>
      <c r="E86" s="81" t="s">
        <v>53</v>
      </c>
      <c r="F86" s="66"/>
    </row>
    <row r="87" ht="15.75" customHeight="1">
      <c r="B87" s="89"/>
      <c r="C87" s="90" t="str">
        <f>Transacciones!G67</f>
        <v>Ingreso por pago de fee</v>
      </c>
      <c r="D87" s="86">
        <f>Transacciones!F67</f>
        <v>10</v>
      </c>
      <c r="E87" s="81" t="s">
        <v>53</v>
      </c>
      <c r="F87" s="66"/>
    </row>
    <row r="88" ht="15.75" customHeight="1">
      <c r="B88" s="89"/>
      <c r="C88" s="90" t="str">
        <f>Transacciones!G68</f>
        <v>Ingreso por pago de fee</v>
      </c>
      <c r="D88" s="86">
        <f>Transacciones!F68</f>
        <v>10</v>
      </c>
      <c r="E88" s="81" t="s">
        <v>53</v>
      </c>
      <c r="F88" s="66"/>
    </row>
    <row r="89" ht="15.75" customHeight="1">
      <c r="B89" s="89"/>
      <c r="C89" s="90" t="str">
        <f>Transacciones!G69</f>
        <v>Ingreso por pago de fee</v>
      </c>
      <c r="D89" s="86">
        <f>Transacciones!F69</f>
        <v>10</v>
      </c>
      <c r="E89" s="81" t="s">
        <v>53</v>
      </c>
      <c r="F89" s="66"/>
    </row>
    <row r="90" ht="15.75" customHeight="1">
      <c r="B90" s="89"/>
      <c r="C90" s="90" t="str">
        <f>Transacciones!G70</f>
        <v>Ingreso por pago de fee</v>
      </c>
      <c r="D90" s="86">
        <f>Transacciones!F70</f>
        <v>10</v>
      </c>
      <c r="E90" s="81" t="s">
        <v>53</v>
      </c>
      <c r="F90" s="66"/>
    </row>
    <row r="91" ht="15.75" customHeight="1">
      <c r="B91" s="89"/>
      <c r="C91" s="90" t="str">
        <f>Transacciones!G71</f>
        <v>Ingreso por pago de fee</v>
      </c>
      <c r="D91" s="86">
        <f>Transacciones!F71</f>
        <v>10</v>
      </c>
      <c r="E91" s="81" t="s">
        <v>53</v>
      </c>
      <c r="F91" s="66"/>
    </row>
    <row r="92" ht="15.75" customHeight="1">
      <c r="B92" s="89"/>
      <c r="C92" s="90" t="str">
        <f>Transacciones!G72</f>
        <v>Ingreso por pago de fee</v>
      </c>
      <c r="D92" s="86">
        <f>Transacciones!F72</f>
        <v>10</v>
      </c>
      <c r="E92" s="81" t="s">
        <v>53</v>
      </c>
      <c r="F92" s="66"/>
    </row>
    <row r="93" ht="15.75" customHeight="1">
      <c r="B93" s="89"/>
      <c r="C93" s="90" t="str">
        <f>Transacciones!G73</f>
        <v>Ingreso por pago de fee</v>
      </c>
      <c r="D93" s="86">
        <f>Transacciones!F73</f>
        <v>10</v>
      </c>
      <c r="E93" s="81" t="s">
        <v>53</v>
      </c>
      <c r="F93" s="66"/>
    </row>
    <row r="94" ht="15.75" customHeight="1">
      <c r="B94" s="89"/>
      <c r="C94" s="90" t="str">
        <f>Transacciones!G74</f>
        <v>Ingreso por pago de fee</v>
      </c>
      <c r="D94" s="86">
        <f>Transacciones!F74</f>
        <v>10</v>
      </c>
      <c r="E94" s="81" t="s">
        <v>53</v>
      </c>
      <c r="F94" s="66"/>
    </row>
    <row r="95" ht="15.75" customHeight="1">
      <c r="B95" s="89"/>
      <c r="C95" s="90" t="str">
        <f>Transacciones!G75</f>
        <v>Ingreso por pago de fee</v>
      </c>
      <c r="D95" s="86">
        <f>Transacciones!F75</f>
        <v>10</v>
      </c>
      <c r="E95" s="81" t="s">
        <v>53</v>
      </c>
      <c r="F95" s="66"/>
    </row>
    <row r="96" ht="15.75" customHeight="1">
      <c r="B96" s="89"/>
      <c r="C96" s="90" t="str">
        <f>Transacciones!G76</f>
        <v>Ingreso por pago de fee</v>
      </c>
      <c r="D96" s="86">
        <f>Transacciones!F76</f>
        <v>10</v>
      </c>
      <c r="E96" s="81" t="s">
        <v>53</v>
      </c>
      <c r="F96" s="66"/>
    </row>
    <row r="97" ht="15.75" customHeight="1">
      <c r="B97" s="89"/>
      <c r="C97" s="90" t="str">
        <f>Transacciones!G77</f>
        <v>Ingreso por pago de fee</v>
      </c>
      <c r="D97" s="86">
        <f>Transacciones!F77</f>
        <v>10</v>
      </c>
      <c r="E97" s="81" t="s">
        <v>53</v>
      </c>
      <c r="F97" s="66"/>
    </row>
    <row r="98" ht="15.75" customHeight="1">
      <c r="B98" s="89"/>
      <c r="C98" s="90" t="str">
        <f>Transacciones!G78</f>
        <v>Ingreso por pago de fee</v>
      </c>
      <c r="D98" s="86">
        <f>Transacciones!F78</f>
        <v>10</v>
      </c>
      <c r="E98" s="81" t="s">
        <v>53</v>
      </c>
      <c r="F98" s="66"/>
    </row>
    <row r="99" ht="15.75" customHeight="1">
      <c r="B99" s="89"/>
      <c r="C99" s="90" t="str">
        <f>Transacciones!G79</f>
        <v>Ingreso por pago de fee</v>
      </c>
      <c r="D99" s="86">
        <f>Transacciones!F79</f>
        <v>10</v>
      </c>
      <c r="E99" s="81" t="s">
        <v>53</v>
      </c>
      <c r="F99" s="66"/>
    </row>
    <row r="100" ht="15.75" customHeight="1">
      <c r="B100" s="89"/>
      <c r="C100" s="90" t="str">
        <f>Transacciones!G80</f>
        <v>Ingreso por pago de fee</v>
      </c>
      <c r="D100" s="86">
        <f>Transacciones!F80</f>
        <v>10</v>
      </c>
      <c r="E100" s="81" t="s">
        <v>53</v>
      </c>
      <c r="F100" s="66"/>
    </row>
    <row r="101" ht="15.75" customHeight="1">
      <c r="B101" s="85"/>
      <c r="C101" s="90"/>
      <c r="D101" s="86"/>
      <c r="E101" s="81"/>
      <c r="F101" s="66"/>
    </row>
    <row r="102" ht="15.75" customHeight="1">
      <c r="B102" s="91" t="s">
        <v>54</v>
      </c>
      <c r="C102" s="71"/>
      <c r="D102" s="72">
        <f>SUM(D37:D101)</f>
        <v>640</v>
      </c>
      <c r="E102" s="73"/>
      <c r="F102" s="65"/>
    </row>
    <row r="103" ht="15.75" customHeight="1">
      <c r="B103" s="1"/>
      <c r="C103" s="1"/>
      <c r="D103" s="1"/>
      <c r="E103" s="1"/>
      <c r="F103" s="1"/>
    </row>
    <row r="104" ht="15.75" customHeight="1">
      <c r="B104" s="1"/>
      <c r="C104" s="75" t="s">
        <v>55</v>
      </c>
      <c r="D104" s="1"/>
      <c r="E104" s="1"/>
      <c r="F104" s="1"/>
    </row>
    <row r="105" ht="15.75" customHeight="1">
      <c r="B105" s="76" t="s">
        <v>44</v>
      </c>
      <c r="C105" s="77" t="s">
        <v>45</v>
      </c>
      <c r="D105" s="77" t="s">
        <v>36</v>
      </c>
      <c r="E105" s="77" t="s">
        <v>46</v>
      </c>
      <c r="F105" s="55" t="s">
        <v>47</v>
      </c>
    </row>
    <row r="106" ht="15.75" customHeight="1">
      <c r="B106" s="85"/>
      <c r="C106" s="92" t="s">
        <v>56</v>
      </c>
      <c r="D106" s="86"/>
      <c r="E106" s="81"/>
      <c r="F106" s="66"/>
    </row>
    <row r="107" ht="15.75" customHeight="1">
      <c r="B107" s="85"/>
      <c r="C107" s="93" t="s">
        <v>57</v>
      </c>
      <c r="D107" s="86"/>
      <c r="E107" s="81"/>
      <c r="F107" s="66"/>
    </row>
    <row r="108" ht="15.75" customHeight="1">
      <c r="B108" s="85"/>
      <c r="C108" s="91" t="s">
        <v>58</v>
      </c>
      <c r="D108" s="94"/>
      <c r="E108" s="73"/>
      <c r="F108" s="74"/>
    </row>
    <row r="109" ht="15.75" customHeight="1">
      <c r="B109" s="1"/>
      <c r="C109" s="1"/>
      <c r="D109" s="1"/>
      <c r="E109" s="1"/>
      <c r="F109" s="1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</sheetData>
  <mergeCells count="10">
    <mergeCell ref="B25:C25"/>
    <mergeCell ref="B32:C32"/>
    <mergeCell ref="B102:C102"/>
    <mergeCell ref="B2:C2"/>
    <mergeCell ref="B3:C3"/>
    <mergeCell ref="B4:C4"/>
    <mergeCell ref="B5:C5"/>
    <mergeCell ref="B6:C6"/>
    <mergeCell ref="B7:C7"/>
    <mergeCell ref="D9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75"/>
    <col customWidth="1" min="6" max="6" width="12.63"/>
  </cols>
  <sheetData>
    <row r="1" ht="15.75" customHeight="1">
      <c r="A1" s="1"/>
      <c r="B1" s="1"/>
      <c r="C1" s="95"/>
      <c r="D1" s="95"/>
      <c r="E1" s="95"/>
      <c r="F1" s="95"/>
      <c r="G1" s="95"/>
      <c r="H1" s="95"/>
      <c r="I1" s="95"/>
      <c r="J1" s="95"/>
      <c r="K1" s="95"/>
    </row>
    <row r="2" ht="15.75" customHeight="1">
      <c r="A2" s="1"/>
      <c r="B2" s="95" t="s">
        <v>59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5.75" customHeight="1">
      <c r="A4" s="1"/>
      <c r="B4" s="96" t="s">
        <v>1</v>
      </c>
      <c r="C4" s="4"/>
      <c r="D4" s="4"/>
      <c r="E4" s="5"/>
      <c r="F4" s="96" t="s">
        <v>2</v>
      </c>
      <c r="G4" s="5"/>
      <c r="H4" s="1"/>
      <c r="I4" s="1"/>
      <c r="J4" s="1"/>
    </row>
    <row r="5" ht="15.75" customHeight="1">
      <c r="A5" s="1"/>
      <c r="B5" s="6" t="s">
        <v>3</v>
      </c>
      <c r="C5" s="4"/>
      <c r="D5" s="4"/>
      <c r="E5" s="5"/>
      <c r="F5" s="6" t="s">
        <v>4</v>
      </c>
      <c r="G5" s="5"/>
      <c r="H5" s="1"/>
      <c r="I5" s="1"/>
      <c r="J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1"/>
      <c r="B8" s="97" t="s">
        <v>60</v>
      </c>
      <c r="C8" s="98" t="s">
        <v>61</v>
      </c>
      <c r="D8" s="98" t="s">
        <v>62</v>
      </c>
      <c r="E8" s="98" t="s">
        <v>63</v>
      </c>
      <c r="F8" s="98" t="s">
        <v>64</v>
      </c>
      <c r="G8" s="98" t="s">
        <v>65</v>
      </c>
      <c r="H8" s="98" t="s">
        <v>66</v>
      </c>
      <c r="I8" s="1"/>
      <c r="J8" s="1"/>
      <c r="K8" s="1"/>
    </row>
    <row r="9" ht="15.75" customHeight="1">
      <c r="A9" s="1"/>
      <c r="B9" s="99">
        <f>Transacciones!B10</f>
        <v>1</v>
      </c>
      <c r="C9" s="100" t="str">
        <f>Transacciones!C10</f>
        <v>13/03/2026</v>
      </c>
      <c r="D9" s="101" t="s">
        <v>67</v>
      </c>
      <c r="E9" s="99" t="str">
        <f>Transacciones!E10</f>
        <v>Gasto</v>
      </c>
      <c r="F9" s="102"/>
      <c r="G9" s="102"/>
      <c r="H9" s="103">
        <f>Transacciones!F10</f>
        <v>50</v>
      </c>
      <c r="I9" s="104" t="str">
        <f>Transacciones!I10</f>
        <v/>
      </c>
      <c r="J9" s="1" t="str">
        <f>Transacciones!J10</f>
        <v/>
      </c>
      <c r="K9" s="1"/>
    </row>
    <row r="10" ht="15.75" customHeight="1">
      <c r="A10" s="1"/>
      <c r="B10" s="99">
        <f>Transacciones!B11</f>
        <v>2</v>
      </c>
      <c r="C10" s="100" t="str">
        <f>Transacciones!C11</f>
        <v>13/03/2026</v>
      </c>
      <c r="D10" s="101" t="s">
        <v>67</v>
      </c>
      <c r="E10" s="99" t="str">
        <f>Transacciones!E11</f>
        <v>Gasto</v>
      </c>
      <c r="F10" s="99"/>
      <c r="G10" s="102"/>
      <c r="H10" s="103">
        <f>Transacciones!F11</f>
        <v>120</v>
      </c>
      <c r="I10" s="104"/>
      <c r="J10" s="1"/>
      <c r="K10" s="1"/>
    </row>
    <row r="11" ht="15.75" customHeight="1">
      <c r="A11" s="1"/>
      <c r="B11" s="99">
        <f>Transacciones!B12</f>
        <v>3</v>
      </c>
      <c r="C11" s="99" t="str">
        <f>Transacciones!C12</f>
        <v>18/03/2026</v>
      </c>
      <c r="D11" s="101" t="s">
        <v>67</v>
      </c>
      <c r="E11" s="99" t="str">
        <f>Transacciones!E12</f>
        <v>Gasto</v>
      </c>
      <c r="F11" s="99"/>
      <c r="G11" s="102"/>
      <c r="H11" s="105">
        <f>Transacciones!F12</f>
        <v>120</v>
      </c>
      <c r="I11" s="1"/>
      <c r="J11" s="1"/>
      <c r="K11" s="1"/>
    </row>
    <row r="12" ht="15.75" customHeight="1">
      <c r="A12" s="1"/>
      <c r="B12" s="99">
        <f>Transacciones!B13</f>
        <v>4</v>
      </c>
      <c r="C12" s="99" t="str">
        <f>Transacciones!C13</f>
        <v>23/03/2026</v>
      </c>
      <c r="D12" s="101" t="s">
        <v>67</v>
      </c>
      <c r="E12" s="99" t="str">
        <f>Transacciones!E13</f>
        <v>Ingreso</v>
      </c>
      <c r="F12" s="99"/>
      <c r="G12" s="105">
        <f>Transacciones!F13</f>
        <v>10</v>
      </c>
      <c r="H12" s="99"/>
      <c r="I12" s="1"/>
      <c r="J12" s="1"/>
      <c r="K12" s="1"/>
    </row>
    <row r="13" ht="15.75" customHeight="1">
      <c r="A13" s="1"/>
      <c r="B13" s="99">
        <f>Transacciones!B14</f>
        <v>5</v>
      </c>
      <c r="C13" s="99" t="str">
        <f>Transacciones!C14</f>
        <v>23/03/2026</v>
      </c>
      <c r="D13" s="101" t="s">
        <v>67</v>
      </c>
      <c r="E13" s="99" t="str">
        <f>Transacciones!E14</f>
        <v>Ingreso</v>
      </c>
      <c r="F13" s="99"/>
      <c r="G13" s="105">
        <f>Transacciones!F14</f>
        <v>10</v>
      </c>
      <c r="H13" s="99"/>
      <c r="I13" s="1"/>
      <c r="J13" s="1"/>
      <c r="K13" s="1"/>
    </row>
    <row r="14" ht="15.75" customHeight="1">
      <c r="A14" s="1"/>
      <c r="B14" s="99">
        <f>Transacciones!B15</f>
        <v>6</v>
      </c>
      <c r="C14" s="99" t="str">
        <f>Transacciones!C15</f>
        <v>23/03/2026</v>
      </c>
      <c r="D14" s="101" t="s">
        <v>67</v>
      </c>
      <c r="E14" s="99" t="str">
        <f>Transacciones!E15</f>
        <v>Ingreso</v>
      </c>
      <c r="F14" s="99"/>
      <c r="G14" s="105">
        <f>Transacciones!F15</f>
        <v>10</v>
      </c>
      <c r="H14" s="99"/>
      <c r="I14" s="1"/>
      <c r="J14" s="1"/>
      <c r="K14" s="1"/>
    </row>
    <row r="15" ht="15.75" customHeight="1">
      <c r="A15" s="1"/>
      <c r="B15" s="99">
        <f>Transacciones!B16</f>
        <v>7</v>
      </c>
      <c r="C15" s="99" t="str">
        <f>Transacciones!C16</f>
        <v>23/03/2026</v>
      </c>
      <c r="D15" s="101" t="s">
        <v>67</v>
      </c>
      <c r="E15" s="99" t="str">
        <f>Transacciones!E16</f>
        <v>Ingreso</v>
      </c>
      <c r="F15" s="99"/>
      <c r="G15" s="105">
        <f>Transacciones!F16</f>
        <v>10</v>
      </c>
      <c r="H15" s="99"/>
      <c r="I15" s="1"/>
      <c r="J15" s="1"/>
      <c r="K15" s="1"/>
    </row>
    <row r="16" ht="15.75" customHeight="1">
      <c r="A16" s="1"/>
      <c r="B16" s="99">
        <f>Transacciones!B17</f>
        <v>8</v>
      </c>
      <c r="C16" s="99" t="str">
        <f>Transacciones!C17</f>
        <v>23/03/2026</v>
      </c>
      <c r="D16" s="101" t="s">
        <v>67</v>
      </c>
      <c r="E16" s="99" t="str">
        <f>Transacciones!E17</f>
        <v>Ingreso</v>
      </c>
      <c r="F16" s="99"/>
      <c r="G16" s="105">
        <f>Transacciones!F17</f>
        <v>10</v>
      </c>
      <c r="H16" s="99"/>
      <c r="I16" s="1"/>
      <c r="J16" s="1"/>
      <c r="K16" s="1"/>
    </row>
    <row r="17" ht="15.75" customHeight="1">
      <c r="A17" s="1"/>
      <c r="B17" s="99">
        <f>Transacciones!B18</f>
        <v>9</v>
      </c>
      <c r="C17" s="99" t="str">
        <f>Transacciones!C18</f>
        <v>23/03/2026</v>
      </c>
      <c r="D17" s="101" t="s">
        <v>67</v>
      </c>
      <c r="E17" s="99" t="str">
        <f>Transacciones!E18</f>
        <v>Ingreso</v>
      </c>
      <c r="F17" s="99"/>
      <c r="G17" s="105">
        <f>Transacciones!F18</f>
        <v>10</v>
      </c>
      <c r="H17" s="99"/>
      <c r="I17" s="1"/>
      <c r="J17" s="1"/>
      <c r="K17" s="1"/>
    </row>
    <row r="18" ht="15.75" customHeight="1">
      <c r="A18" s="1"/>
      <c r="B18" s="99">
        <f>Transacciones!B19</f>
        <v>10</v>
      </c>
      <c r="C18" s="99" t="str">
        <f>Transacciones!C19</f>
        <v>23/03/2026</v>
      </c>
      <c r="D18" s="101" t="s">
        <v>67</v>
      </c>
      <c r="E18" s="99" t="str">
        <f>Transacciones!E19</f>
        <v>Ingreso</v>
      </c>
      <c r="F18" s="99"/>
      <c r="G18" s="105">
        <f>Transacciones!F19</f>
        <v>10</v>
      </c>
      <c r="H18" s="99"/>
      <c r="I18" s="1"/>
      <c r="J18" s="1"/>
      <c r="K18" s="1"/>
    </row>
    <row r="19" ht="15.75" customHeight="1">
      <c r="A19" s="1"/>
      <c r="B19" s="99">
        <f>Transacciones!B20</f>
        <v>11</v>
      </c>
      <c r="C19" s="99" t="str">
        <f>Transacciones!C20</f>
        <v>23/03/2026</v>
      </c>
      <c r="D19" s="101" t="s">
        <v>67</v>
      </c>
      <c r="E19" s="99" t="str">
        <f>Transacciones!E20</f>
        <v>Ingreso</v>
      </c>
      <c r="F19" s="99"/>
      <c r="G19" s="105">
        <f>Transacciones!F20</f>
        <v>10</v>
      </c>
      <c r="H19" s="99"/>
      <c r="I19" s="1"/>
      <c r="J19" s="1"/>
      <c r="K19" s="1"/>
    </row>
    <row r="20" ht="15.75" customHeight="1">
      <c r="A20" s="1"/>
      <c r="B20" s="99">
        <f>Transacciones!B21</f>
        <v>12</v>
      </c>
      <c r="C20" s="99" t="str">
        <f>Transacciones!C21</f>
        <v>23/03/2026</v>
      </c>
      <c r="D20" s="101" t="s">
        <v>67</v>
      </c>
      <c r="E20" s="99" t="str">
        <f>Transacciones!E21</f>
        <v>Ingreso</v>
      </c>
      <c r="F20" s="99"/>
      <c r="G20" s="105">
        <f>Transacciones!F21</f>
        <v>10</v>
      </c>
      <c r="H20" s="99"/>
      <c r="I20" s="1"/>
      <c r="J20" s="1"/>
      <c r="K20" s="1"/>
    </row>
    <row r="21" ht="15.75" customHeight="1">
      <c r="A21" s="1"/>
      <c r="B21" s="99">
        <f>Transacciones!B22</f>
        <v>13</v>
      </c>
      <c r="C21" s="99" t="str">
        <f>Transacciones!C22</f>
        <v>23/03/2026</v>
      </c>
      <c r="D21" s="101" t="s">
        <v>67</v>
      </c>
      <c r="E21" s="99" t="str">
        <f>Transacciones!E22</f>
        <v>Ingreso</v>
      </c>
      <c r="F21" s="99"/>
      <c r="G21" s="105">
        <f>Transacciones!F22</f>
        <v>10</v>
      </c>
      <c r="H21" s="99"/>
      <c r="I21" s="1"/>
      <c r="J21" s="1"/>
      <c r="K21" s="1"/>
    </row>
    <row r="22" ht="15.75" customHeight="1">
      <c r="A22" s="1"/>
      <c r="B22" s="99">
        <f>Transacciones!B23</f>
        <v>14</v>
      </c>
      <c r="C22" s="99" t="str">
        <f>Transacciones!C23</f>
        <v>24/03/2026</v>
      </c>
      <c r="D22" s="101" t="s">
        <v>67</v>
      </c>
      <c r="E22" s="99" t="str">
        <f>Transacciones!E23</f>
        <v>Ingreso</v>
      </c>
      <c r="F22" s="99"/>
      <c r="G22" s="105">
        <f>Transacciones!F23</f>
        <v>10</v>
      </c>
      <c r="H22" s="99"/>
      <c r="I22" s="1"/>
      <c r="J22" s="1"/>
      <c r="K22" s="1"/>
    </row>
    <row r="23" ht="15.75" customHeight="1">
      <c r="A23" s="1"/>
      <c r="B23" s="99">
        <f>Transacciones!B24</f>
        <v>15</v>
      </c>
      <c r="C23" s="99" t="str">
        <f>Transacciones!C24</f>
        <v>24/03/2026</v>
      </c>
      <c r="D23" s="101" t="s">
        <v>67</v>
      </c>
      <c r="E23" s="99" t="str">
        <f>Transacciones!E24</f>
        <v>Ingreso</v>
      </c>
      <c r="F23" s="99"/>
      <c r="G23" s="105">
        <f>Transacciones!F24</f>
        <v>10</v>
      </c>
      <c r="H23" s="99"/>
      <c r="I23" s="1"/>
      <c r="J23" s="1"/>
      <c r="K23" s="1"/>
    </row>
    <row r="24" ht="15.75" customHeight="1">
      <c r="A24" s="1"/>
      <c r="B24" s="99">
        <f>Transacciones!B25</f>
        <v>16</v>
      </c>
      <c r="C24" s="99" t="str">
        <f>Transacciones!C25</f>
        <v>24/03/2026</v>
      </c>
      <c r="D24" s="101" t="s">
        <v>67</v>
      </c>
      <c r="E24" s="99" t="str">
        <f>Transacciones!E25</f>
        <v>Ingreso</v>
      </c>
      <c r="F24" s="99"/>
      <c r="G24" s="105">
        <f>Transacciones!F25</f>
        <v>10</v>
      </c>
      <c r="H24" s="99"/>
      <c r="I24" s="1"/>
      <c r="J24" s="1"/>
      <c r="K24" s="1"/>
    </row>
    <row r="25" ht="15.75" customHeight="1">
      <c r="A25" s="1"/>
      <c r="B25" s="99">
        <f>Transacciones!B26</f>
        <v>17</v>
      </c>
      <c r="C25" s="99" t="str">
        <f>Transacciones!C26</f>
        <v>24/03/2026</v>
      </c>
      <c r="D25" s="101" t="s">
        <v>67</v>
      </c>
      <c r="E25" s="99" t="str">
        <f>Transacciones!E26</f>
        <v>Ingreso</v>
      </c>
      <c r="F25" s="99"/>
      <c r="G25" s="105">
        <f>Transacciones!F26</f>
        <v>10</v>
      </c>
      <c r="H25" s="99"/>
      <c r="I25" s="1"/>
      <c r="J25" s="1"/>
      <c r="K25" s="1"/>
    </row>
    <row r="26" ht="15.75" customHeight="1">
      <c r="A26" s="1"/>
      <c r="B26" s="99">
        <f>Transacciones!B27</f>
        <v>18</v>
      </c>
      <c r="C26" s="99" t="str">
        <f>Transacciones!C27</f>
        <v>24/03/2026</v>
      </c>
      <c r="D26" s="101" t="s">
        <v>67</v>
      </c>
      <c r="E26" s="99" t="str">
        <f>Transacciones!E27</f>
        <v>Ingreso</v>
      </c>
      <c r="F26" s="99"/>
      <c r="G26" s="105">
        <f>Transacciones!F27</f>
        <v>10</v>
      </c>
      <c r="H26" s="99"/>
      <c r="I26" s="1"/>
      <c r="J26" s="1"/>
      <c r="K26" s="1"/>
    </row>
    <row r="27" ht="15.75" customHeight="1">
      <c r="A27" s="1"/>
      <c r="B27" s="99">
        <f>Transacciones!B28</f>
        <v>19</v>
      </c>
      <c r="C27" s="99" t="str">
        <f>Transacciones!C28</f>
        <v>24/03/2026</v>
      </c>
      <c r="D27" s="101" t="s">
        <v>67</v>
      </c>
      <c r="E27" s="99" t="str">
        <f>Transacciones!E28</f>
        <v>Ingreso</v>
      </c>
      <c r="F27" s="99"/>
      <c r="G27" s="105">
        <f>Transacciones!F28</f>
        <v>10</v>
      </c>
      <c r="H27" s="99"/>
      <c r="I27" s="1"/>
      <c r="J27" s="1"/>
      <c r="K27" s="1"/>
    </row>
    <row r="28" ht="15.75" customHeight="1">
      <c r="A28" s="1"/>
      <c r="B28" s="99">
        <f>Transacciones!B29</f>
        <v>20</v>
      </c>
      <c r="C28" s="99" t="str">
        <f>Transacciones!C29</f>
        <v>24/03/2026</v>
      </c>
      <c r="D28" s="101" t="s">
        <v>67</v>
      </c>
      <c r="E28" s="99" t="str">
        <f>Transacciones!E29</f>
        <v>Ingreso</v>
      </c>
      <c r="F28" s="99"/>
      <c r="G28" s="105">
        <f>Transacciones!F29</f>
        <v>10</v>
      </c>
      <c r="H28" s="99"/>
      <c r="I28" s="1"/>
      <c r="J28" s="1"/>
      <c r="K28" s="1"/>
    </row>
    <row r="29" ht="15.75" customHeight="1">
      <c r="A29" s="1"/>
      <c r="B29" s="99">
        <f>Transacciones!B30</f>
        <v>21</v>
      </c>
      <c r="C29" s="99" t="str">
        <f>Transacciones!C30</f>
        <v>24/03/2026</v>
      </c>
      <c r="D29" s="101" t="s">
        <v>67</v>
      </c>
      <c r="E29" s="99" t="str">
        <f>Transacciones!E30</f>
        <v>Ingreso</v>
      </c>
      <c r="F29" s="99"/>
      <c r="G29" s="105">
        <f>Transacciones!F30</f>
        <v>10</v>
      </c>
      <c r="H29" s="99"/>
      <c r="I29" s="1"/>
      <c r="J29" s="1"/>
      <c r="K29" s="1"/>
    </row>
    <row r="30" ht="15.75" customHeight="1">
      <c r="A30" s="1"/>
      <c r="B30" s="99">
        <f>Transacciones!B31</f>
        <v>22</v>
      </c>
      <c r="C30" s="99" t="str">
        <f>Transacciones!C31</f>
        <v>24/03/2026</v>
      </c>
      <c r="D30" s="101" t="s">
        <v>67</v>
      </c>
      <c r="E30" s="99" t="str">
        <f>Transacciones!E31</f>
        <v>Ingreso</v>
      </c>
      <c r="F30" s="99"/>
      <c r="G30" s="105">
        <f>Transacciones!F31</f>
        <v>10</v>
      </c>
      <c r="H30" s="99"/>
      <c r="I30" s="1"/>
      <c r="J30" s="1"/>
      <c r="K30" s="1"/>
    </row>
    <row r="31" ht="15.75" customHeight="1">
      <c r="A31" s="1"/>
      <c r="B31" s="99">
        <f>Transacciones!B32</f>
        <v>23</v>
      </c>
      <c r="C31" s="99" t="str">
        <f>Transacciones!C32</f>
        <v>24/03/2026</v>
      </c>
      <c r="D31" s="101" t="s">
        <v>67</v>
      </c>
      <c r="E31" s="99" t="str">
        <f>Transacciones!E32</f>
        <v>Ingreso</v>
      </c>
      <c r="F31" s="99"/>
      <c r="G31" s="105">
        <f>Transacciones!F32</f>
        <v>10</v>
      </c>
      <c r="H31" s="99"/>
      <c r="I31" s="1"/>
      <c r="J31" s="1"/>
      <c r="K31" s="1"/>
    </row>
    <row r="32" ht="15.75" customHeight="1">
      <c r="A32" s="1"/>
      <c r="B32" s="99">
        <f>Transacciones!B33</f>
        <v>24</v>
      </c>
      <c r="C32" s="99" t="str">
        <f>Transacciones!C33</f>
        <v>24/03/2026</v>
      </c>
      <c r="D32" s="101" t="s">
        <v>67</v>
      </c>
      <c r="E32" s="99" t="str">
        <f>Transacciones!E33</f>
        <v>Ingreso</v>
      </c>
      <c r="F32" s="99"/>
      <c r="G32" s="105">
        <f>Transacciones!F33</f>
        <v>10</v>
      </c>
      <c r="H32" s="99"/>
      <c r="I32" s="1"/>
      <c r="J32" s="1"/>
      <c r="K32" s="1"/>
    </row>
    <row r="33" ht="15.75" customHeight="1">
      <c r="A33" s="1"/>
      <c r="B33" s="99">
        <f>Transacciones!B34</f>
        <v>25</v>
      </c>
      <c r="C33" s="99" t="str">
        <f>Transacciones!C34</f>
        <v>24/03/2026</v>
      </c>
      <c r="D33" s="101" t="s">
        <v>67</v>
      </c>
      <c r="E33" s="99" t="str">
        <f>Transacciones!E34</f>
        <v>Gasto</v>
      </c>
      <c r="F33" s="99"/>
      <c r="G33" s="102"/>
      <c r="H33" s="105">
        <f>Transacciones!F34</f>
        <v>50</v>
      </c>
      <c r="I33" s="1"/>
      <c r="J33" s="1"/>
      <c r="K33" s="1"/>
    </row>
    <row r="34" ht="15.75" customHeight="1">
      <c r="A34" s="1"/>
      <c r="B34" s="99">
        <f>Transacciones!B35</f>
        <v>26</v>
      </c>
      <c r="C34" s="99" t="str">
        <f>Transacciones!C35</f>
        <v>24/03/2026</v>
      </c>
      <c r="D34" s="101" t="s">
        <v>67</v>
      </c>
      <c r="E34" s="99" t="str">
        <f>Transacciones!E35</f>
        <v>Gasto</v>
      </c>
      <c r="F34" s="99"/>
      <c r="G34" s="102"/>
      <c r="H34" s="105">
        <f>Transacciones!F35</f>
        <v>12</v>
      </c>
      <c r="I34" s="1"/>
      <c r="J34" s="1"/>
      <c r="K34" s="1"/>
    </row>
    <row r="35" ht="15.75" customHeight="1">
      <c r="A35" s="1"/>
      <c r="B35" s="99">
        <f>Transacciones!B36</f>
        <v>27</v>
      </c>
      <c r="C35" s="99" t="str">
        <f>Transacciones!C36</f>
        <v>24/03/2026</v>
      </c>
      <c r="D35" s="101" t="s">
        <v>67</v>
      </c>
      <c r="E35" s="99" t="str">
        <f>Transacciones!E36</f>
        <v>Gasto</v>
      </c>
      <c r="F35" s="99"/>
      <c r="G35" s="102"/>
      <c r="H35" s="105">
        <f>Transacciones!F36</f>
        <v>37.9</v>
      </c>
      <c r="I35" s="1"/>
      <c r="J35" s="1"/>
      <c r="K35" s="1"/>
    </row>
    <row r="36" ht="15.75" customHeight="1">
      <c r="A36" s="1"/>
      <c r="B36" s="99">
        <f>Transacciones!B37</f>
        <v>28</v>
      </c>
      <c r="C36" s="99" t="str">
        <f>Transacciones!C37</f>
        <v>24/03/2026</v>
      </c>
      <c r="D36" s="101" t="s">
        <v>67</v>
      </c>
      <c r="E36" s="99" t="str">
        <f>Transacciones!E37</f>
        <v>Gasto</v>
      </c>
      <c r="F36" s="99"/>
      <c r="G36" s="102"/>
      <c r="H36" s="105">
        <f>Transacciones!F37</f>
        <v>93.27</v>
      </c>
      <c r="I36" s="1"/>
      <c r="J36" s="1"/>
      <c r="K36" s="1"/>
    </row>
    <row r="37" ht="15.75" customHeight="1">
      <c r="A37" s="1"/>
      <c r="B37" s="99">
        <f>Transacciones!B38</f>
        <v>29</v>
      </c>
      <c r="C37" s="99" t="str">
        <f>Transacciones!C38</f>
        <v>25/03/2026</v>
      </c>
      <c r="D37" s="101" t="s">
        <v>67</v>
      </c>
      <c r="E37" s="99" t="str">
        <f>Transacciones!E38</f>
        <v>Ingreso</v>
      </c>
      <c r="F37" s="99"/>
      <c r="G37" s="105">
        <f>Transacciones!F38</f>
        <v>10</v>
      </c>
      <c r="H37" s="99"/>
      <c r="I37" s="1"/>
      <c r="J37" s="1"/>
      <c r="K37" s="1"/>
    </row>
    <row r="38" ht="15.75" customHeight="1">
      <c r="A38" s="1"/>
      <c r="B38" s="99">
        <f>Transacciones!B39</f>
        <v>30</v>
      </c>
      <c r="C38" s="99" t="str">
        <f>Transacciones!C39</f>
        <v>25/03/2026</v>
      </c>
      <c r="D38" s="101" t="s">
        <v>67</v>
      </c>
      <c r="E38" s="99" t="str">
        <f>Transacciones!E39</f>
        <v>Ingreso</v>
      </c>
      <c r="F38" s="99"/>
      <c r="G38" s="105">
        <f>Transacciones!F39</f>
        <v>10</v>
      </c>
      <c r="H38" s="99"/>
      <c r="I38" s="1"/>
      <c r="J38" s="1"/>
      <c r="K38" s="1"/>
    </row>
    <row r="39" ht="15.75" customHeight="1">
      <c r="A39" s="1"/>
      <c r="B39" s="99">
        <f>Transacciones!B40</f>
        <v>31</v>
      </c>
      <c r="C39" s="99" t="str">
        <f>Transacciones!C40</f>
        <v>25/03/2026</v>
      </c>
      <c r="D39" s="101" t="s">
        <v>67</v>
      </c>
      <c r="E39" s="99" t="str">
        <f>Transacciones!E40</f>
        <v>Ingreso</v>
      </c>
      <c r="F39" s="99"/>
      <c r="G39" s="105">
        <f>Transacciones!F40</f>
        <v>10</v>
      </c>
      <c r="H39" s="99"/>
      <c r="I39" s="1"/>
      <c r="J39" s="1"/>
      <c r="K39" s="1"/>
    </row>
    <row r="40" ht="15.75" customHeight="1">
      <c r="A40" s="1"/>
      <c r="B40" s="99">
        <f>Transacciones!B41</f>
        <v>32</v>
      </c>
      <c r="C40" s="99" t="str">
        <f>Transacciones!C41</f>
        <v>25/03/2026</v>
      </c>
      <c r="D40" s="101" t="s">
        <v>67</v>
      </c>
      <c r="E40" s="99" t="str">
        <f>Transacciones!E41</f>
        <v>Ingreso</v>
      </c>
      <c r="F40" s="99"/>
      <c r="G40" s="105">
        <f>Transacciones!F41</f>
        <v>10</v>
      </c>
      <c r="H40" s="99"/>
      <c r="I40" s="1"/>
      <c r="J40" s="1"/>
      <c r="K40" s="1"/>
    </row>
    <row r="41" ht="15.75" customHeight="1">
      <c r="A41" s="1"/>
      <c r="B41" s="99">
        <f>Transacciones!B42</f>
        <v>33</v>
      </c>
      <c r="C41" s="99" t="str">
        <f>Transacciones!C42</f>
        <v>25/03/2026</v>
      </c>
      <c r="D41" s="101" t="s">
        <v>67</v>
      </c>
      <c r="E41" s="99" t="str">
        <f>Transacciones!E42</f>
        <v>Ingreso</v>
      </c>
      <c r="F41" s="99"/>
      <c r="G41" s="105">
        <f>Transacciones!F42</f>
        <v>10</v>
      </c>
      <c r="H41" s="99"/>
      <c r="I41" s="1"/>
      <c r="J41" s="1"/>
      <c r="K41" s="1"/>
    </row>
    <row r="42" ht="15.75" customHeight="1">
      <c r="A42" s="1"/>
      <c r="B42" s="99">
        <f>Transacciones!B43</f>
        <v>34</v>
      </c>
      <c r="C42" s="99" t="str">
        <f>Transacciones!C43</f>
        <v>25/03/2026</v>
      </c>
      <c r="D42" s="101" t="s">
        <v>67</v>
      </c>
      <c r="E42" s="99" t="str">
        <f>Transacciones!E43</f>
        <v>Ingreso</v>
      </c>
      <c r="F42" s="99"/>
      <c r="G42" s="105">
        <f>Transacciones!F43</f>
        <v>10</v>
      </c>
      <c r="H42" s="99"/>
      <c r="I42" s="1"/>
      <c r="J42" s="1"/>
      <c r="K42" s="1"/>
    </row>
    <row r="43" ht="15.75" customHeight="1">
      <c r="A43" s="1"/>
      <c r="B43" s="99">
        <f>Transacciones!B44</f>
        <v>35</v>
      </c>
      <c r="C43" s="99" t="str">
        <f>Transacciones!C44</f>
        <v>25/03/2026</v>
      </c>
      <c r="D43" s="101" t="s">
        <v>67</v>
      </c>
      <c r="E43" s="99" t="str">
        <f>Transacciones!E44</f>
        <v>Ingreso</v>
      </c>
      <c r="F43" s="99"/>
      <c r="G43" s="105">
        <f>Transacciones!F44</f>
        <v>10</v>
      </c>
      <c r="H43" s="99"/>
      <c r="I43" s="1"/>
      <c r="J43" s="1"/>
      <c r="K43" s="1"/>
    </row>
    <row r="44" ht="15.75" customHeight="1">
      <c r="A44" s="1"/>
      <c r="B44" s="99">
        <f>Transacciones!B45</f>
        <v>36</v>
      </c>
      <c r="C44" s="99" t="str">
        <f>Transacciones!C45</f>
        <v>25/03/2026</v>
      </c>
      <c r="D44" s="101" t="s">
        <v>67</v>
      </c>
      <c r="E44" s="99" t="str">
        <f>Transacciones!E45</f>
        <v>Ingreso</v>
      </c>
      <c r="F44" s="99"/>
      <c r="G44" s="105">
        <f>Transacciones!F45</f>
        <v>10</v>
      </c>
      <c r="H44" s="99"/>
      <c r="I44" s="1"/>
      <c r="J44" s="1"/>
      <c r="K44" s="1"/>
    </row>
    <row r="45" ht="15.75" customHeight="1">
      <c r="A45" s="1"/>
      <c r="B45" s="99">
        <f>Transacciones!B46</f>
        <v>37</v>
      </c>
      <c r="C45" s="99" t="str">
        <f>Transacciones!C46</f>
        <v>25/03/2026</v>
      </c>
      <c r="D45" s="101" t="s">
        <v>67</v>
      </c>
      <c r="E45" s="99" t="str">
        <f>Transacciones!E46</f>
        <v>Ingreso</v>
      </c>
      <c r="F45" s="99"/>
      <c r="G45" s="105">
        <f>Transacciones!F46</f>
        <v>10</v>
      </c>
      <c r="H45" s="99"/>
      <c r="I45" s="1"/>
      <c r="J45" s="1"/>
      <c r="K45" s="1"/>
    </row>
    <row r="46" ht="15.75" customHeight="1">
      <c r="A46" s="1"/>
      <c r="B46" s="99">
        <f>Transacciones!B47</f>
        <v>38</v>
      </c>
      <c r="C46" s="99" t="str">
        <f>Transacciones!C47</f>
        <v>25/03/2026</v>
      </c>
      <c r="D46" s="101" t="s">
        <v>67</v>
      </c>
      <c r="E46" s="99" t="str">
        <f>Transacciones!E47</f>
        <v>Ingreso</v>
      </c>
      <c r="F46" s="99"/>
      <c r="G46" s="105">
        <f>Transacciones!F47</f>
        <v>10</v>
      </c>
      <c r="H46" s="99"/>
      <c r="I46" s="1"/>
      <c r="J46" s="1"/>
      <c r="K46" s="1"/>
    </row>
    <row r="47" ht="15.75" customHeight="1">
      <c r="A47" s="1"/>
      <c r="B47" s="99">
        <f>Transacciones!B48</f>
        <v>39</v>
      </c>
      <c r="C47" s="99" t="str">
        <f>Transacciones!C48</f>
        <v>25/03/2026</v>
      </c>
      <c r="D47" s="101" t="s">
        <v>67</v>
      </c>
      <c r="E47" s="99" t="str">
        <f>Transacciones!E48</f>
        <v>Ingreso</v>
      </c>
      <c r="F47" s="99"/>
      <c r="G47" s="105">
        <f>Transacciones!F48</f>
        <v>10</v>
      </c>
      <c r="H47" s="99"/>
      <c r="I47" s="1"/>
      <c r="J47" s="1"/>
      <c r="K47" s="1"/>
    </row>
    <row r="48" ht="15.75" customHeight="1">
      <c r="A48" s="1"/>
      <c r="B48" s="99">
        <f>Transacciones!B49</f>
        <v>40</v>
      </c>
      <c r="C48" s="99" t="str">
        <f>Transacciones!C49</f>
        <v>25/03/2026</v>
      </c>
      <c r="D48" s="101" t="s">
        <v>67</v>
      </c>
      <c r="E48" s="99" t="str">
        <f>Transacciones!E49</f>
        <v>Ingreso</v>
      </c>
      <c r="F48" s="99"/>
      <c r="G48" s="105">
        <f>Transacciones!F49</f>
        <v>10</v>
      </c>
      <c r="H48" s="99"/>
      <c r="I48" s="1"/>
      <c r="J48" s="1"/>
      <c r="K48" s="1"/>
    </row>
    <row r="49" ht="15.75" customHeight="1">
      <c r="A49" s="1"/>
      <c r="B49" s="99">
        <f>Transacciones!B50</f>
        <v>41</v>
      </c>
      <c r="C49" s="99" t="str">
        <f>Transacciones!C50</f>
        <v>25/03/2026</v>
      </c>
      <c r="D49" s="101" t="s">
        <v>67</v>
      </c>
      <c r="E49" s="99" t="str">
        <f>Transacciones!E50</f>
        <v>Ingreso</v>
      </c>
      <c r="F49" s="99"/>
      <c r="G49" s="105">
        <f>Transacciones!F50</f>
        <v>10</v>
      </c>
      <c r="H49" s="99"/>
      <c r="I49" s="1"/>
      <c r="J49" s="1"/>
      <c r="K49" s="1"/>
    </row>
    <row r="50" ht="15.75" customHeight="1">
      <c r="A50" s="1"/>
      <c r="B50" s="99">
        <f>Transacciones!B51</f>
        <v>42</v>
      </c>
      <c r="C50" s="99" t="str">
        <f>Transacciones!C51</f>
        <v>25/03/2026</v>
      </c>
      <c r="D50" s="101" t="s">
        <v>67</v>
      </c>
      <c r="E50" s="99" t="str">
        <f>Transacciones!E51</f>
        <v>Ingreso</v>
      </c>
      <c r="F50" s="99"/>
      <c r="G50" s="105">
        <f>Transacciones!F51</f>
        <v>10</v>
      </c>
      <c r="H50" s="99"/>
      <c r="I50" s="1"/>
      <c r="J50" s="1"/>
      <c r="K50" s="1"/>
    </row>
    <row r="51" ht="15.75" customHeight="1">
      <c r="A51" s="1"/>
      <c r="B51" s="99">
        <f>Transacciones!B52</f>
        <v>43</v>
      </c>
      <c r="C51" s="99" t="str">
        <f>Transacciones!C52</f>
        <v>26/03/2026</v>
      </c>
      <c r="D51" s="101" t="s">
        <v>67</v>
      </c>
      <c r="E51" s="99" t="str">
        <f>Transacciones!E52</f>
        <v>Ingreso</v>
      </c>
      <c r="F51" s="99"/>
      <c r="G51" s="105">
        <f>Transacciones!F52</f>
        <v>10</v>
      </c>
      <c r="H51" s="99"/>
      <c r="I51" s="1"/>
      <c r="J51" s="1"/>
      <c r="K51" s="1"/>
    </row>
    <row r="52" ht="15.75" customHeight="1">
      <c r="A52" s="1"/>
      <c r="B52" s="99">
        <f>Transacciones!B53</f>
        <v>44</v>
      </c>
      <c r="C52" s="99" t="str">
        <f>Transacciones!C53</f>
        <v>26/03/2026</v>
      </c>
      <c r="D52" s="101" t="s">
        <v>67</v>
      </c>
      <c r="E52" s="99" t="str">
        <f>Transacciones!E53</f>
        <v>Ingreso</v>
      </c>
      <c r="F52" s="99"/>
      <c r="G52" s="105">
        <f>Transacciones!F53</f>
        <v>10</v>
      </c>
      <c r="H52" s="99"/>
      <c r="I52" s="1"/>
      <c r="J52" s="1"/>
      <c r="K52" s="1"/>
    </row>
    <row r="53" ht="15.75" customHeight="1">
      <c r="A53" s="1"/>
      <c r="B53" s="99">
        <f>Transacciones!B54</f>
        <v>45</v>
      </c>
      <c r="C53" s="99" t="str">
        <f>Transacciones!C54</f>
        <v>26/03/2026</v>
      </c>
      <c r="D53" s="101" t="s">
        <v>67</v>
      </c>
      <c r="E53" s="99" t="str">
        <f>Transacciones!E54</f>
        <v>Ingreso</v>
      </c>
      <c r="F53" s="99"/>
      <c r="G53" s="105">
        <f>Transacciones!F54</f>
        <v>10</v>
      </c>
      <c r="H53" s="99"/>
      <c r="I53" s="1"/>
      <c r="J53" s="1"/>
      <c r="K53" s="1"/>
    </row>
    <row r="54" ht="15.75" customHeight="1">
      <c r="A54" s="1"/>
      <c r="B54" s="99">
        <f>Transacciones!B55</f>
        <v>46</v>
      </c>
      <c r="C54" s="99" t="str">
        <f>Transacciones!C55</f>
        <v>26/03/2026</v>
      </c>
      <c r="D54" s="101" t="s">
        <v>67</v>
      </c>
      <c r="E54" s="99" t="str">
        <f>Transacciones!E55</f>
        <v>Ingreso</v>
      </c>
      <c r="F54" s="99"/>
      <c r="G54" s="105">
        <f>Transacciones!F55</f>
        <v>10</v>
      </c>
      <c r="H54" s="99"/>
      <c r="I54" s="1"/>
      <c r="J54" s="1"/>
      <c r="K54" s="1"/>
    </row>
    <row r="55" ht="15.75" customHeight="1">
      <c r="A55" s="1"/>
      <c r="B55" s="99">
        <f>Transacciones!B56</f>
        <v>47</v>
      </c>
      <c r="C55" s="99" t="str">
        <f>Transacciones!C56</f>
        <v>26/03/2026</v>
      </c>
      <c r="D55" s="101" t="s">
        <v>67</v>
      </c>
      <c r="E55" s="99" t="str">
        <f>Transacciones!E56</f>
        <v>Ingreso</v>
      </c>
      <c r="F55" s="99"/>
      <c r="G55" s="105">
        <f>Transacciones!F56</f>
        <v>10</v>
      </c>
      <c r="H55" s="99"/>
      <c r="I55" s="1"/>
      <c r="J55" s="1"/>
      <c r="K55" s="1"/>
    </row>
    <row r="56" ht="15.75" customHeight="1">
      <c r="A56" s="1"/>
      <c r="B56" s="99">
        <f>Transacciones!B57</f>
        <v>48</v>
      </c>
      <c r="C56" s="99" t="str">
        <f>Transacciones!C57</f>
        <v>26/03/2026</v>
      </c>
      <c r="D56" s="101" t="s">
        <v>67</v>
      </c>
      <c r="E56" s="99" t="str">
        <f>Transacciones!E57</f>
        <v>Ingreso</v>
      </c>
      <c r="F56" s="99"/>
      <c r="G56" s="105">
        <f>Transacciones!F57</f>
        <v>10</v>
      </c>
      <c r="H56" s="99"/>
      <c r="I56" s="1"/>
      <c r="J56" s="1"/>
      <c r="K56" s="1"/>
    </row>
    <row r="57" ht="15.75" customHeight="1">
      <c r="A57" s="1"/>
      <c r="B57" s="99">
        <f>Transacciones!B58</f>
        <v>49</v>
      </c>
      <c r="C57" s="99" t="str">
        <f>Transacciones!C58</f>
        <v>26/03/2026</v>
      </c>
      <c r="D57" s="101" t="s">
        <v>67</v>
      </c>
      <c r="E57" s="99" t="str">
        <f>Transacciones!E58</f>
        <v>Ingreso</v>
      </c>
      <c r="F57" s="99"/>
      <c r="G57" s="105">
        <f>Transacciones!F58</f>
        <v>10</v>
      </c>
      <c r="H57" s="99"/>
      <c r="I57" s="1"/>
      <c r="J57" s="1"/>
      <c r="K57" s="1"/>
    </row>
    <row r="58" ht="15.75" customHeight="1">
      <c r="A58" s="1"/>
      <c r="B58" s="99">
        <f>Transacciones!B59</f>
        <v>50</v>
      </c>
      <c r="C58" s="99" t="str">
        <f>Transacciones!C59</f>
        <v>26/03/2026</v>
      </c>
      <c r="D58" s="101" t="s">
        <v>67</v>
      </c>
      <c r="E58" s="99" t="str">
        <f>Transacciones!E59</f>
        <v>Ingreso</v>
      </c>
      <c r="F58" s="99"/>
      <c r="G58" s="105">
        <f>Transacciones!F59</f>
        <v>10</v>
      </c>
      <c r="H58" s="99"/>
      <c r="I58" s="1"/>
      <c r="J58" s="1"/>
      <c r="K58" s="1"/>
    </row>
    <row r="59" ht="15.75" customHeight="1">
      <c r="A59" s="1"/>
      <c r="B59" s="99">
        <f>Transacciones!B60</f>
        <v>51</v>
      </c>
      <c r="C59" s="99" t="str">
        <f>Transacciones!C60</f>
        <v>27/03/2026</v>
      </c>
      <c r="D59" s="101" t="s">
        <v>67</v>
      </c>
      <c r="E59" s="99" t="str">
        <f>Transacciones!E60</f>
        <v>Ingreso</v>
      </c>
      <c r="F59" s="99"/>
      <c r="G59" s="105">
        <f>Transacciones!F60</f>
        <v>10</v>
      </c>
      <c r="H59" s="99"/>
      <c r="I59" s="1"/>
      <c r="J59" s="1"/>
      <c r="K59" s="1"/>
    </row>
    <row r="60" ht="15.75" customHeight="1">
      <c r="A60" s="1"/>
      <c r="B60" s="99">
        <f>Transacciones!B61</f>
        <v>52</v>
      </c>
      <c r="C60" s="99" t="str">
        <f>Transacciones!C61</f>
        <v>27/03/2026</v>
      </c>
      <c r="D60" s="101" t="s">
        <v>67</v>
      </c>
      <c r="E60" s="99" t="str">
        <f>Transacciones!E61</f>
        <v>Ingreso</v>
      </c>
      <c r="F60" s="99"/>
      <c r="G60" s="105">
        <f>Transacciones!F61</f>
        <v>10</v>
      </c>
      <c r="H60" s="99"/>
      <c r="I60" s="1"/>
      <c r="J60" s="1"/>
      <c r="K60" s="1"/>
    </row>
    <row r="61" ht="15.75" customHeight="1">
      <c r="A61" s="1"/>
      <c r="B61" s="99">
        <f>Transacciones!B62</f>
        <v>53</v>
      </c>
      <c r="C61" s="99" t="str">
        <f>Transacciones!C62</f>
        <v>27/03/2026</v>
      </c>
      <c r="D61" s="101" t="s">
        <v>67</v>
      </c>
      <c r="E61" s="99" t="str">
        <f>Transacciones!E62</f>
        <v>Ingreso</v>
      </c>
      <c r="F61" s="99"/>
      <c r="G61" s="105">
        <f>Transacciones!F62</f>
        <v>10</v>
      </c>
      <c r="H61" s="99"/>
      <c r="I61" s="1"/>
      <c r="J61" s="1"/>
      <c r="K61" s="1"/>
    </row>
    <row r="62" ht="15.75" customHeight="1">
      <c r="A62" s="1"/>
      <c r="B62" s="99">
        <f>Transacciones!B63</f>
        <v>54</v>
      </c>
      <c r="C62" s="99" t="str">
        <f>Transacciones!C63</f>
        <v>27/03/2026</v>
      </c>
      <c r="D62" s="101" t="s">
        <v>67</v>
      </c>
      <c r="E62" s="99" t="str">
        <f>Transacciones!E63</f>
        <v>Ingreso</v>
      </c>
      <c r="F62" s="99"/>
      <c r="G62" s="105">
        <f>Transacciones!F63</f>
        <v>10</v>
      </c>
      <c r="H62" s="99"/>
      <c r="I62" s="1"/>
      <c r="J62" s="1"/>
      <c r="K62" s="1"/>
    </row>
    <row r="63" ht="15.75" customHeight="1">
      <c r="A63" s="1"/>
      <c r="B63" s="99">
        <f>Transacciones!B64</f>
        <v>55</v>
      </c>
      <c r="C63" s="99" t="str">
        <f>Transacciones!C64</f>
        <v>27/03/2026</v>
      </c>
      <c r="D63" s="101" t="s">
        <v>67</v>
      </c>
      <c r="E63" s="99" t="str">
        <f>Transacciones!E64</f>
        <v>Ingreso</v>
      </c>
      <c r="F63" s="99"/>
      <c r="G63" s="105">
        <f>Transacciones!F64</f>
        <v>10</v>
      </c>
      <c r="H63" s="99"/>
      <c r="I63" s="1"/>
      <c r="J63" s="1"/>
      <c r="K63" s="1"/>
    </row>
    <row r="64" ht="15.75" customHeight="1">
      <c r="A64" s="1"/>
      <c r="B64" s="99">
        <f>Transacciones!B65</f>
        <v>56</v>
      </c>
      <c r="C64" s="99" t="str">
        <f>Transacciones!C65</f>
        <v>27/03/2026</v>
      </c>
      <c r="D64" s="101" t="s">
        <v>67</v>
      </c>
      <c r="E64" s="99" t="str">
        <f>Transacciones!E65</f>
        <v>Ingreso</v>
      </c>
      <c r="F64" s="99"/>
      <c r="G64" s="105">
        <f>Transacciones!F65</f>
        <v>10</v>
      </c>
      <c r="H64" s="99"/>
      <c r="I64" s="1"/>
      <c r="J64" s="1"/>
      <c r="K64" s="1"/>
    </row>
    <row r="65" ht="15.75" customHeight="1">
      <c r="A65" s="1"/>
      <c r="B65" s="99">
        <f>Transacciones!B66</f>
        <v>57</v>
      </c>
      <c r="C65" s="99" t="str">
        <f>Transacciones!C66</f>
        <v>27/03/2026</v>
      </c>
      <c r="D65" s="101" t="s">
        <v>67</v>
      </c>
      <c r="E65" s="99" t="str">
        <f>Transacciones!E66</f>
        <v>Ingreso</v>
      </c>
      <c r="F65" s="99"/>
      <c r="G65" s="105">
        <f>Transacciones!F66</f>
        <v>10</v>
      </c>
      <c r="H65" s="99"/>
      <c r="I65" s="1"/>
      <c r="J65" s="1"/>
      <c r="K65" s="1"/>
    </row>
    <row r="66" ht="15.75" customHeight="1">
      <c r="A66" s="1"/>
      <c r="B66" s="99">
        <f>Transacciones!B67</f>
        <v>58</v>
      </c>
      <c r="C66" s="99" t="str">
        <f>Transacciones!C67</f>
        <v>27/03/2026</v>
      </c>
      <c r="D66" s="101" t="s">
        <v>67</v>
      </c>
      <c r="E66" s="99" t="str">
        <f>Transacciones!E67</f>
        <v>Ingreso</v>
      </c>
      <c r="F66" s="99"/>
      <c r="G66" s="105">
        <f>Transacciones!F67</f>
        <v>10</v>
      </c>
      <c r="H66" s="99"/>
      <c r="I66" s="1"/>
      <c r="J66" s="1"/>
      <c r="K66" s="1"/>
    </row>
    <row r="67" ht="15.75" customHeight="1">
      <c r="A67" s="1"/>
      <c r="B67" s="99">
        <f>Transacciones!B68</f>
        <v>59</v>
      </c>
      <c r="C67" s="99" t="str">
        <f>Transacciones!C68</f>
        <v>27/03/2026</v>
      </c>
      <c r="D67" s="101" t="s">
        <v>67</v>
      </c>
      <c r="E67" s="99" t="str">
        <f>Transacciones!E68</f>
        <v>Ingreso</v>
      </c>
      <c r="F67" s="99"/>
      <c r="G67" s="105">
        <f>Transacciones!F68</f>
        <v>10</v>
      </c>
      <c r="H67" s="99"/>
      <c r="I67" s="1"/>
      <c r="J67" s="1"/>
      <c r="K67" s="1"/>
    </row>
    <row r="68" ht="15.75" customHeight="1">
      <c r="A68" s="1"/>
      <c r="B68" s="99">
        <f>Transacciones!B69</f>
        <v>60</v>
      </c>
      <c r="C68" s="99" t="str">
        <f>Transacciones!C69</f>
        <v>27/03/2026</v>
      </c>
      <c r="D68" s="101" t="s">
        <v>67</v>
      </c>
      <c r="E68" s="99" t="str">
        <f>Transacciones!E69</f>
        <v>Ingreso</v>
      </c>
      <c r="F68" s="99"/>
      <c r="G68" s="105">
        <f>Transacciones!F69</f>
        <v>10</v>
      </c>
      <c r="H68" s="99"/>
      <c r="I68" s="1"/>
      <c r="J68" s="1"/>
      <c r="K68" s="1"/>
    </row>
    <row r="69" ht="15.75" customHeight="1">
      <c r="A69" s="1"/>
      <c r="B69" s="99">
        <f>Transacciones!B70</f>
        <v>61</v>
      </c>
      <c r="C69" s="99" t="str">
        <f>Transacciones!C70</f>
        <v>27/03/2026</v>
      </c>
      <c r="D69" s="101" t="s">
        <v>67</v>
      </c>
      <c r="E69" s="99" t="str">
        <f>Transacciones!E70</f>
        <v>Ingreso</v>
      </c>
      <c r="F69" s="99"/>
      <c r="G69" s="105">
        <f>Transacciones!F70</f>
        <v>10</v>
      </c>
      <c r="H69" s="99"/>
      <c r="I69" s="1"/>
      <c r="J69" s="1"/>
      <c r="K69" s="1"/>
    </row>
    <row r="70" ht="15.75" customHeight="1">
      <c r="A70" s="1"/>
      <c r="B70" s="99">
        <f>Transacciones!B71</f>
        <v>62</v>
      </c>
      <c r="C70" s="99" t="str">
        <f>Transacciones!C71</f>
        <v>27/03/2026</v>
      </c>
      <c r="D70" s="101" t="s">
        <v>67</v>
      </c>
      <c r="E70" s="99" t="str">
        <f>Transacciones!E71</f>
        <v>Ingreso</v>
      </c>
      <c r="F70" s="99"/>
      <c r="G70" s="105">
        <f>Transacciones!F71</f>
        <v>10</v>
      </c>
      <c r="H70" s="99"/>
      <c r="I70" s="1"/>
      <c r="J70" s="1"/>
      <c r="K70" s="1"/>
    </row>
    <row r="71" ht="15.75" customHeight="1">
      <c r="A71" s="1"/>
      <c r="B71" s="99">
        <f>Transacciones!B72</f>
        <v>63</v>
      </c>
      <c r="C71" s="99" t="str">
        <f>Transacciones!C72</f>
        <v>27/03/2026</v>
      </c>
      <c r="D71" s="101" t="s">
        <v>67</v>
      </c>
      <c r="E71" s="99" t="str">
        <f>Transacciones!E72</f>
        <v>Ingreso</v>
      </c>
      <c r="F71" s="99"/>
      <c r="G71" s="105">
        <f>Transacciones!F72</f>
        <v>10</v>
      </c>
      <c r="H71" s="99"/>
      <c r="I71" s="1"/>
      <c r="J71" s="1"/>
      <c r="K71" s="1"/>
    </row>
    <row r="72" ht="15.75" customHeight="1">
      <c r="A72" s="1"/>
      <c r="B72" s="99">
        <f>Transacciones!B73</f>
        <v>64</v>
      </c>
      <c r="C72" s="99" t="str">
        <f>Transacciones!C73</f>
        <v>27/03/2026</v>
      </c>
      <c r="D72" s="101" t="s">
        <v>67</v>
      </c>
      <c r="E72" s="99" t="str">
        <f>Transacciones!E73</f>
        <v>Ingreso</v>
      </c>
      <c r="F72" s="99"/>
      <c r="G72" s="105">
        <f>Transacciones!F73</f>
        <v>10</v>
      </c>
      <c r="H72" s="99"/>
      <c r="I72" s="1"/>
      <c r="J72" s="1"/>
      <c r="K72" s="1"/>
    </row>
    <row r="73" ht="15.75" customHeight="1">
      <c r="A73" s="1"/>
      <c r="B73" s="99">
        <f>Transacciones!B74</f>
        <v>65</v>
      </c>
      <c r="C73" s="99" t="str">
        <f>Transacciones!C74</f>
        <v>27/03/2026</v>
      </c>
      <c r="D73" s="101" t="s">
        <v>67</v>
      </c>
      <c r="E73" s="99" t="str">
        <f>Transacciones!E74</f>
        <v>Ingreso</v>
      </c>
      <c r="F73" s="99"/>
      <c r="G73" s="105">
        <f>Transacciones!F74</f>
        <v>10</v>
      </c>
      <c r="H73" s="99"/>
      <c r="I73" s="1"/>
      <c r="J73" s="1"/>
      <c r="K73" s="1"/>
    </row>
    <row r="74" ht="15.75" customHeight="1">
      <c r="A74" s="1"/>
      <c r="B74" s="99">
        <f>Transacciones!B75</f>
        <v>66</v>
      </c>
      <c r="C74" s="99" t="str">
        <f>Transacciones!C75</f>
        <v>30/03/2026</v>
      </c>
      <c r="D74" s="101" t="s">
        <v>67</v>
      </c>
      <c r="E74" s="99" t="str">
        <f>Transacciones!E75</f>
        <v>Ingreso</v>
      </c>
      <c r="F74" s="99"/>
      <c r="G74" s="105">
        <f>Transacciones!F75</f>
        <v>10</v>
      </c>
      <c r="H74" s="99"/>
      <c r="I74" s="1"/>
      <c r="J74" s="1"/>
      <c r="K74" s="1"/>
    </row>
    <row r="75" ht="15.75" customHeight="1">
      <c r="A75" s="1"/>
      <c r="B75" s="99">
        <f>Transacciones!B76</f>
        <v>67</v>
      </c>
      <c r="C75" s="99" t="str">
        <f>Transacciones!C76</f>
        <v>30/03/2026</v>
      </c>
      <c r="D75" s="101" t="s">
        <v>67</v>
      </c>
      <c r="E75" s="99" t="str">
        <f>Transacciones!E76</f>
        <v>Ingreso</v>
      </c>
      <c r="F75" s="99"/>
      <c r="G75" s="105">
        <f>Transacciones!F76</f>
        <v>10</v>
      </c>
      <c r="H75" s="99"/>
      <c r="I75" s="1"/>
      <c r="J75" s="1"/>
      <c r="K75" s="1"/>
    </row>
    <row r="76" ht="15.75" customHeight="1">
      <c r="A76" s="1"/>
      <c r="B76" s="99">
        <f>Transacciones!B77</f>
        <v>68</v>
      </c>
      <c r="C76" s="99" t="str">
        <f>Transacciones!C77</f>
        <v>30/03/2026</v>
      </c>
      <c r="D76" s="101" t="s">
        <v>67</v>
      </c>
      <c r="E76" s="99" t="str">
        <f>Transacciones!E77</f>
        <v>Ingreso</v>
      </c>
      <c r="F76" s="99"/>
      <c r="G76" s="105">
        <f>Transacciones!F77</f>
        <v>10</v>
      </c>
      <c r="H76" s="99"/>
      <c r="I76" s="1"/>
      <c r="J76" s="1"/>
      <c r="K76" s="1"/>
    </row>
    <row r="77" ht="15.75" customHeight="1">
      <c r="A77" s="1"/>
      <c r="B77" s="99">
        <f>Transacciones!B78</f>
        <v>69</v>
      </c>
      <c r="C77" s="99" t="str">
        <f>Transacciones!C78</f>
        <v>30/03/2026</v>
      </c>
      <c r="D77" s="101" t="s">
        <v>67</v>
      </c>
      <c r="E77" s="99" t="str">
        <f>Transacciones!E78</f>
        <v>Ingreso</v>
      </c>
      <c r="F77" s="99"/>
      <c r="G77" s="105">
        <f>Transacciones!F78</f>
        <v>10</v>
      </c>
      <c r="H77" s="99"/>
      <c r="I77" s="1"/>
      <c r="J77" s="1"/>
      <c r="K77" s="1"/>
    </row>
    <row r="78" ht="15.75" customHeight="1">
      <c r="A78" s="1"/>
      <c r="B78" s="99">
        <f>Transacciones!B79</f>
        <v>70</v>
      </c>
      <c r="C78" s="99" t="str">
        <f>Transacciones!C79</f>
        <v>30/03/2026</v>
      </c>
      <c r="D78" s="101" t="s">
        <v>67</v>
      </c>
      <c r="E78" s="99" t="str">
        <f>Transacciones!E79</f>
        <v>Ingreso</v>
      </c>
      <c r="F78" s="99"/>
      <c r="G78" s="105">
        <f>Transacciones!F79</f>
        <v>10</v>
      </c>
      <c r="H78" s="99"/>
      <c r="I78" s="1"/>
      <c r="J78" s="1"/>
      <c r="K78" s="1"/>
    </row>
    <row r="79" ht="15.75" customHeight="1">
      <c r="A79" s="1"/>
      <c r="B79" s="99">
        <f>Transacciones!B80</f>
        <v>71</v>
      </c>
      <c r="C79" s="99" t="str">
        <f>Transacciones!C80</f>
        <v>30/03/2026</v>
      </c>
      <c r="D79" s="101" t="s">
        <v>67</v>
      </c>
      <c r="E79" s="99" t="str">
        <f>Transacciones!E80</f>
        <v>Ingreso</v>
      </c>
      <c r="F79" s="99"/>
      <c r="G79" s="105">
        <f>Transacciones!F80</f>
        <v>10</v>
      </c>
      <c r="H79" s="99"/>
      <c r="I79" s="1"/>
      <c r="J79" s="1"/>
      <c r="K79" s="1"/>
    </row>
    <row r="80" ht="15.75" customHeight="1">
      <c r="A80" s="1"/>
      <c r="B80" s="99"/>
      <c r="C80" s="106"/>
      <c r="D80" s="99"/>
      <c r="E80" s="99"/>
      <c r="F80" s="99"/>
      <c r="G80" s="99"/>
      <c r="H80" s="99"/>
      <c r="I80" s="1"/>
      <c r="J80" s="1"/>
      <c r="K80" s="1"/>
    </row>
    <row r="81" ht="15.75" customHeight="1">
      <c r="A81" s="1"/>
      <c r="B81" s="99"/>
      <c r="C81" s="106"/>
      <c r="D81" s="99"/>
      <c r="E81" s="99"/>
      <c r="F81" s="99"/>
      <c r="G81" s="99"/>
      <c r="H81" s="99"/>
      <c r="I81" s="1"/>
      <c r="J81" s="1"/>
      <c r="K81" s="1"/>
    </row>
    <row r="82" ht="15.75" customHeight="1">
      <c r="A82" s="1"/>
      <c r="B82" s="99"/>
      <c r="C82" s="106"/>
      <c r="D82" s="99"/>
      <c r="E82" s="99"/>
      <c r="F82" s="99"/>
      <c r="G82" s="99"/>
      <c r="H82" s="99"/>
      <c r="I82" s="1"/>
      <c r="J82" s="1"/>
      <c r="K82" s="1"/>
    </row>
    <row r="83" ht="15.75" customHeight="1">
      <c r="A83" s="1"/>
      <c r="B83" s="99"/>
      <c r="C83" s="106"/>
      <c r="D83" s="99"/>
      <c r="E83" s="99"/>
      <c r="F83" s="99"/>
      <c r="G83" s="99"/>
      <c r="H83" s="99"/>
      <c r="I83" s="1"/>
      <c r="J83" s="1"/>
      <c r="K83" s="1"/>
    </row>
    <row r="84" ht="15.75" customHeight="1">
      <c r="A84" s="1"/>
      <c r="B84" s="1"/>
      <c r="C84" s="50"/>
      <c r="D84" s="1"/>
      <c r="E84" s="1"/>
      <c r="F84" s="1"/>
      <c r="G84" s="107">
        <f t="shared" ref="G84:H84" si="1">SUM(G9:G83)</f>
        <v>640</v>
      </c>
      <c r="H84" s="108">
        <f t="shared" si="1"/>
        <v>483.17</v>
      </c>
      <c r="I84" s="1"/>
      <c r="J84" s="1"/>
      <c r="K84" s="1"/>
    </row>
    <row r="85" ht="15.75" customHeight="1">
      <c r="A85" s="1"/>
      <c r="B85" s="1"/>
      <c r="C85" s="50"/>
      <c r="D85" s="1"/>
      <c r="E85" s="109" t="s">
        <v>68</v>
      </c>
      <c r="F85" s="109"/>
      <c r="G85" s="110">
        <f>Transacciones!F9</f>
        <v>921.05</v>
      </c>
      <c r="H85" s="1"/>
      <c r="I85" s="1"/>
      <c r="J85" s="1"/>
      <c r="K85" s="1"/>
    </row>
    <row r="86" ht="15.75" customHeight="1">
      <c r="A86" s="1"/>
      <c r="B86" s="1"/>
      <c r="C86" s="50"/>
      <c r="D86" s="1"/>
      <c r="E86" s="1" t="s">
        <v>69</v>
      </c>
      <c r="F86" s="1"/>
      <c r="G86" s="107">
        <f>G84-H84+G85</f>
        <v>1077.88</v>
      </c>
      <c r="H86" s="1"/>
      <c r="I86" s="1"/>
      <c r="J86" s="1"/>
      <c r="K86" s="1"/>
    </row>
    <row r="87" ht="15.75" customHeight="1">
      <c r="A87" s="1"/>
      <c r="B87" s="1"/>
      <c r="C87" s="50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50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50"/>
      <c r="D89" s="1"/>
      <c r="E89" s="1"/>
      <c r="F89" s="1"/>
      <c r="G89" s="1"/>
      <c r="H89" s="1"/>
      <c r="I89" s="1"/>
      <c r="J89" s="1"/>
      <c r="K89" s="1"/>
    </row>
    <row r="90" ht="15.75" customHeight="1">
      <c r="C90" s="50"/>
    </row>
    <row r="91" ht="15.75" customHeight="1">
      <c r="C91" s="50"/>
    </row>
    <row r="92" ht="15.75" customHeight="1">
      <c r="C92" s="50"/>
    </row>
    <row r="93" ht="15.75" customHeight="1">
      <c r="C93" s="50"/>
    </row>
    <row r="94" ht="15.75" customHeight="1">
      <c r="C94" s="50"/>
    </row>
    <row r="95" ht="15.75" customHeight="1">
      <c r="C95" s="50"/>
    </row>
    <row r="96" ht="15.75" customHeight="1">
      <c r="C96" s="50"/>
    </row>
    <row r="97" ht="15.75" customHeight="1">
      <c r="C97" s="50"/>
    </row>
    <row r="98" ht="15.75" customHeight="1">
      <c r="C98" s="50"/>
    </row>
    <row r="99" ht="15.75" customHeight="1">
      <c r="C99" s="50"/>
    </row>
    <row r="100" ht="15.75" customHeight="1">
      <c r="C100" s="50"/>
    </row>
    <row r="101" ht="15.75" customHeight="1">
      <c r="C101" s="50"/>
    </row>
    <row r="102" ht="15.75" customHeight="1">
      <c r="C102" s="50"/>
    </row>
    <row r="103" ht="15.75" customHeight="1">
      <c r="C103" s="50"/>
    </row>
    <row r="104" ht="15.75" customHeight="1">
      <c r="C104" s="50"/>
    </row>
    <row r="105" ht="15.75" customHeight="1">
      <c r="C105" s="50"/>
    </row>
    <row r="106" ht="15.75" customHeight="1">
      <c r="C106" s="50"/>
    </row>
    <row r="107" ht="15.75" customHeight="1">
      <c r="C107" s="50"/>
    </row>
    <row r="108" ht="15.75" customHeight="1">
      <c r="C108" s="50"/>
    </row>
    <row r="109" ht="15.75" customHeight="1">
      <c r="C109" s="50"/>
    </row>
    <row r="110" ht="15.75" customHeight="1">
      <c r="C110" s="50"/>
    </row>
    <row r="111" ht="15.75" customHeight="1">
      <c r="C111" s="50"/>
    </row>
    <row r="112" ht="15.75" customHeight="1">
      <c r="C112" s="50"/>
    </row>
    <row r="113" ht="15.75" customHeight="1">
      <c r="C113" s="50"/>
    </row>
    <row r="114" ht="15.75" customHeight="1">
      <c r="C114" s="50"/>
    </row>
    <row r="115" ht="15.75" customHeight="1">
      <c r="C115" s="50"/>
    </row>
    <row r="116" ht="15.75" customHeight="1">
      <c r="C116" s="50"/>
    </row>
    <row r="117" ht="15.75" customHeight="1">
      <c r="C117" s="50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5">
    <mergeCell ref="B2:J2"/>
    <mergeCell ref="B4:E4"/>
    <mergeCell ref="F4:G4"/>
    <mergeCell ref="B5:E5"/>
    <mergeCell ref="F5:G5"/>
  </mergeCells>
  <drawing r:id="rId1"/>
</worksheet>
</file>