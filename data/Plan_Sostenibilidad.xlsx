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Caja" sheetId="1" r:id="rId4"/>
    <sheet state="visible" name="Supuestos" sheetId="2" r:id="rId5"/>
    <sheet state="visible" name="Calendario Eventos" sheetId="3" r:id="rId6"/>
  </sheets>
  <definedNames/>
  <calcPr/>
  <extLst>
    <ext uri="GoogleSheetsCustomDataVersion2">
      <go:sheetsCustomData xmlns:go="http://customooxmlschemas.google.com/" r:id="rId7" roundtripDataChecksum="bA6bgE0SqIOzLp1ve8MKqPnL4bgNCxjI4E+yL982GJ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">
      <text>
        <t xml:space="preserve">======
ID#AAAB5C_YGdQ
Unknown Author    (2026-04-09 03:21:42)
Sin presupuesto asignado. Antes de interfacultades.</t>
      </text>
    </comment>
    <comment authorId="0" ref="C7">
      <text>
        <t xml:space="preserve">======
ID#AAAB5C_Y9fY
Unknown Author    (2026-04-09 03:21:42)
Saldo real al 27/02/2026 (cierre EECC Interbank cuenta 898-3479080005). Punto de partida del ciclo, antes de la bienvenida.</t>
      </text>
    </comment>
    <comment authorId="0" ref="B36">
      <text>
        <t xml:space="preserve">======
ID#AAAB5C_Y9e8
Unknown Author    (2026-04-09 03:21:42)
Herramientas, capacitaciones, imprevistos.</t>
      </text>
    </comment>
    <comment authorId="0" ref="B10">
      <text>
        <t xml:space="preserve">======
ID#AAAB5C_Y9ew
Unknown Author    (2026-04-09 03:21:42)
Donaciones estratégicas (ej. Jean Pierre). Pendiente.</t>
      </text>
    </comment>
    <comment authorId="0" ref="B19">
      <text>
        <t xml:space="preserve">======
ID#AAAB5C_YGdU
Unknown Author    (2026-04-09 03:21:42)
Conciliado EECC marzo: 4 cargos el 24/03 = 12+37.90+93.27+50 = S/193.17</t>
      </text>
    </comment>
    <comment authorId="0" ref="B24">
      <text>
        <t xml:space="preserve">======
ID#AAAB5C_Y9fE
Unknown Author    (2026-04-09 03:21:42)
Planificado S5–S6 (20/04–03/05). Editable.</t>
      </text>
    </comment>
    <comment authorId="0" ref="B31">
      <text>
        <t xml:space="preserve">======
ID#AAAB5C_YGdI
Unknown Author    (2026-04-09 03:21:42)
Sin presupuesto asignado. Playa/deporte.</t>
      </text>
    </comment>
    <comment authorId="0" ref="B33">
      <text>
        <t xml:space="preserve">======
ID#AAAB5C_Y9fA
Unknown Author    (2026-04-09 03:21:42)
Sin presupuesto asignado.</t>
      </text>
    </comment>
    <comment authorId="0" ref="B30">
      <text>
        <t xml:space="preserve">======
ID#AAAB5C_YGdM
Unknown Author    (2026-04-09 03:21:42)
Sin presupuesto asignado.</t>
      </text>
    </comment>
    <comment authorId="0" ref="B28">
      <text>
        <t xml:space="preserve">======
ID#AAAB5C_Y9fM
Unknown Author    (2026-04-09 03:21:42)
Pago planificado S14 (22-28/06).</t>
      </text>
    </comment>
    <comment authorId="0" ref="B12">
      <text>
        <t xml:space="preserve">======
ID#AAAB5C_Y9fI
Unknown Author    (2026-04-09 03:21:42)
Alianzas con empresas. Pendiente.</t>
      </text>
    </comment>
    <comment authorId="0" ref="B9">
      <text>
        <t xml:space="preserve">======
ID#AAAB5C_YGdE
Conciliado con EECC y app Interbank al 08/04    (2026-04-09 03:21:42)
S1 (23-29/03): S/580 - 58 aportes
S2 (30/03-05/04): S/90 - 9 aportes
S3 (06-12/04): S/40 - 4 aportes (semana en curso)
Total: S/710</t>
      </text>
    </comment>
    <comment authorId="0" ref="B14">
      <text>
        <t xml:space="preserve">======
ID#AAAB5CqhXr4
Unknown Author    (2026-04-09 03:21:42)
Ganancia NETA esperada S13.</t>
      </text>
    </comment>
    <comment authorId="0" ref="B29">
      <text>
        <t xml:space="preserve">======
ID#AAAB5C_Y9fU
Unknown Author    (2026-04-09 03:21:42)
Sin presupuesto asignado. Completar al estimar.</t>
      </text>
    </comment>
    <comment authorId="0" ref="B13">
      <text>
        <t xml:space="preserve">======
ID#AAAB5C_Y9e4
Unknown Author    (2026-04-09 03:21:42)
Actividad de recaudación S12. Monto POR DEFINIR.</t>
      </text>
    </comment>
    <comment authorId="0" ref="B20">
      <text>
        <t xml:space="preserve">======
ID#AAAB5C_Y9es
Unknown Author    (2026-04-09 03:21:42)
Conciliado EECC marzo: PLIN-DANIELA 13/03 (50+120) y 18/03 (120) = S/290. Quedan en inventario 180DC.</t>
      </text>
    </comment>
    <comment authorId="0" ref="B35">
      <text>
        <t xml:space="preserve">======
ID#AAAB5C_Y9fQ
Unknown Author    (2026-04-09 03:21:42)
Sin presupuesto asignado. Después del 180 Talks.</t>
      </text>
    </comment>
    <comment authorId="0" ref="B34">
      <text>
        <t xml:space="preserve">======
ID#AAAB5C_Y9e0
Unknown Author    (2026-04-09 03:21:42)
Sin presupuesto asignado. Considerar como recaudación.</t>
      </text>
    </comment>
  </commentList>
  <extLst>
    <ext uri="GoogleSheetsCustomDataVersion2">
      <go:sheetsCustomData xmlns:go="http://customooxmlschemas.google.com/" r:id="rId1" roundtripDataSignature="AMtx7mipezMULtW4nE+1XbFhWhIiuX/NKg=="/>
    </ext>
  </extLst>
</comments>
</file>

<file path=xl/sharedStrings.xml><?xml version="1.0" encoding="utf-8"?>
<sst xmlns="http://schemas.openxmlformats.org/spreadsheetml/2006/main" count="263" uniqueCount="217">
  <si>
    <t>180DC PUCP — Plan de Sostenibilidad Financiera</t>
  </si>
  <si>
    <t>Flujo de Caja Semanal — Ciclo Académico 2026-1</t>
  </si>
  <si>
    <t>S0 = Pre-ciclo (bienvenida) | S1 = Inicio oficial Lun 23/03/2026 | S17 = Cierre Sáb 18/07/2026 | Moneda: Soles (S/)</t>
  </si>
  <si>
    <t>Categoría</t>
  </si>
  <si>
    <t>Concepto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</si>
  <si>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</si>
  <si>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</si>
  <si>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</si>
  <si>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</si>
  <si>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</si>
  <si>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</si>
  <si>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</si>
  <si>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</si>
  <si>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</si>
  <si>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</si>
  <si>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</si>
  <si>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</si>
  <si>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</si>
  <si>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</si>
  <si>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</si>
  <si>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</si>
  <si>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</si>
  <si>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</si>
  <si>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Total</t>
  </si>
  <si>
    <t>Semana del</t>
  </si>
  <si>
    <t>Bienvenida</t>
  </si>
  <si>
    <t>23/03</t>
  </si>
  <si>
    <t>30/03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</si>
  <si>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</si>
  <si>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</si>
  <si>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</si>
  <si>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</si>
  <si>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</si>
  <si>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</si>
  <si>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</si>
  <si>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</si>
  <si>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</si>
  <si>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>08/06</t>
  </si>
  <si>
    <t>15/06</t>
  </si>
  <si>
    <t>22/06</t>
  </si>
  <si>
    <t>29/06</t>
  </si>
  <si>
    <t>06/07</t>
  </si>
  <si>
    <t>13/07</t>
  </si>
  <si>
    <t>SALDO INICIAL</t>
  </si>
  <si>
    <t>(+) INGRESOS</t>
  </si>
  <si>
    <t>Membresías (Fees)</t>
  </si>
  <si>
    <t>Donaciones</t>
  </si>
  <si>
    <t>Evento deportivo — inscripciones (S7)</t>
  </si>
  <si>
    <t>Patrocinios Corporativos</t>
  </si>
  <si>
    <t>Cursos (Recaudación S12)</t>
  </si>
  <si>
    <t>Rifas (Recaudación S13)</t>
  </si>
  <si>
    <t>Otros ingresos</t>
  </si>
  <si>
    <t>Total Ingresos</t>
  </si>
  <si>
    <t>(-) EGRESOS</t>
  </si>
  <si>
    <t>Bienvenida — Bocaditos (Plin-Amanda S/50 + Laetiti S/12)</t>
  </si>
  <si>
    <t>Bienvenida — Materiales/papelotes (Lady C S/37.90 + Jose M S/93.27)</t>
  </si>
  <si>
    <t>Bienvenida — Photochecks (13/03 PLIN-DANIELA)</t>
  </si>
  <si>
    <t>Bienvenida — Polos inventario (13/03 S/120 + 18/03 S/120)</t>
  </si>
  <si>
    <t>RUC (trámite/pago)</t>
  </si>
  <si>
    <t>RIFA</t>
  </si>
  <si>
    <t>BCG Capacitación UP — Pago YAPE a 191720 (16/04) -S/54.83</t>
  </si>
  <si>
    <t>Evento 180 Talks</t>
  </si>
  <si>
    <t>Capacitación 11/04 (S3)</t>
  </si>
  <si>
    <t>Picnic universidad 18/04 (S4)</t>
  </si>
  <si>
    <t>Integra de Directores 25/04 (S5)</t>
  </si>
  <si>
    <t>Torneo Deportivo 09/05 (S7)</t>
  </si>
  <si>
    <t>Reunión casa de Raúl 30/05 (S10)</t>
  </si>
  <si>
    <t>Gymkana 06/06 (S11)</t>
  </si>
  <si>
    <t>Almuerzo de la Agrupa 27/06 (S14)</t>
  </si>
  <si>
    <t>Reserva local pizza — 1ra Integración (25/04, Yape Mario Mer -S/20)</t>
  </si>
  <si>
    <t>ITF — Impuesto a Transacciones Financieras (14/04, traslado Interbank→BCP)</t>
  </si>
  <si>
    <t>Otros egresos</t>
  </si>
  <si>
    <t>Total Egresos</t>
  </si>
  <si>
    <t>FLUJO NETO</t>
  </si>
  <si>
    <t>SALDO FINAL</t>
  </si>
  <si>
    <t>Supuestos, Fuentes y Leyenda</t>
  </si>
  <si>
    <t>ESTRUCTURA DE SEMANAS</t>
  </si>
  <si>
    <t>S/ 800</t>
  </si>
  <si>
    <t>Movido a S7 (04/05–10/05) — presupuesto actualizado de S/600 a S/800</t>
  </si>
  <si>
    <t>Pre-ciclo / Bienvenida</t>
  </si>
  <si>
    <t>Semana de bienvenida (13–22/03). Egresos previos al inicio oficial.</t>
  </si>
  <si>
    <t>Lun 23/03 – Dom 29/03</t>
  </si>
  <si>
    <t>Inicio oficial del ciclo académico</t>
  </si>
  <si>
    <t>Lun 20/04 – Dom 26/04</t>
  </si>
  <si>
    <t>Pago RUC planificado</t>
  </si>
  <si>
    <t>Lun 08/06 – Dom 14/06</t>
  </si>
  <si>
    <t>Cursos (recaudación)</t>
  </si>
  <si>
    <t>Lun 15/06 – Dom 21/06</t>
  </si>
  <si>
    <t>Rifas (recaudación)</t>
  </si>
  <si>
    <t>Lun 22/06 – Dom 28/06</t>
  </si>
  <si>
    <t>180 Talks</t>
  </si>
  <si>
    <t>Lun 13/07 – Sáb 18/07</t>
  </si>
  <si>
    <t>Cierre del ciclo</t>
  </si>
  <si>
    <t>S/ 921.05</t>
  </si>
  <si>
    <t>Saldo inicial Interbank 27/02/2026: S/921.05. Traslado total a BCP el 14/04 (S/1,000 + S/147.83) y 19/04 (S/20). ITF pagado: S/0.05. Desde 14/04 la cuenta activa es BCP.</t>
  </si>
  <si>
    <t>TRASLADO INTERBANK → BCP</t>
  </si>
  <si>
    <t>14/04 y 19/04</t>
  </si>
  <si>
    <t>14/04: S/1,000.00 + S/147.83 (= saldo Interbank S/1,147.83 - ITF S/0.05). 19/04: S/20.00 (fees S4 que llegaron a Interbank después del traslado principal). Total trasladado a BCP: S/1,167.83.</t>
  </si>
  <si>
    <t>INGRESOS REALES (CONCILIADOS)</t>
  </si>
  <si>
    <t>Fees S1</t>
  </si>
  <si>
    <t>S/ 580</t>
  </si>
  <si>
    <t>58 aportes 23-27/03 (EECC marzo)</t>
  </si>
  <si>
    <t>Fees S2</t>
  </si>
  <si>
    <t>S/ 90</t>
  </si>
  <si>
    <t>9 aportes 30/03-02/04</t>
  </si>
  <si>
    <t>Fees S3</t>
  </si>
  <si>
    <t>S/ 40</t>
  </si>
  <si>
    <t>4 aportes 07-08/04: Daniela (07), Danae L (07), Grecia (08), Annia A (08)</t>
  </si>
  <si>
    <t>Fees S4</t>
  </si>
  <si>
    <t>S/ 20</t>
  </si>
  <si>
    <t>S/20 confirmados EECC BCP — trasladados a BCP el 19/04 (TRANSF.BCO.INTERBA +S/20)</t>
  </si>
  <si>
    <t>Fees S5</t>
  </si>
  <si>
    <t>S/ 10</t>
  </si>
  <si>
    <t>1 aporte 22/04 — Pago YAPE de 19104 (EECC BCP confirmado)</t>
  </si>
  <si>
    <t>Fees S6</t>
  </si>
  <si>
    <t>1 aporte 27/04 — ABON PLIN-YANIRA P (EECC BCP confirmado)</t>
  </si>
  <si>
    <t>Total fees acumulado S1-S6</t>
  </si>
  <si>
    <t>S/ 750</t>
  </si>
  <si>
    <t>580+90+40+20+10+10 (S1+S2+S3+S4+S5+S6)</t>
  </si>
  <si>
    <t>ITF — Impuesto Transacciones Financieras S4</t>
  </si>
  <si>
    <t>S/ 0.05</t>
  </si>
  <si>
    <t>14/04 — cobrado por traslado Interbank→BCP</t>
  </si>
  <si>
    <t>INGRESOS PROYECTADOS</t>
  </si>
  <si>
    <t>Rifa S13</t>
  </si>
  <si>
    <t>S/ 1,000</t>
  </si>
  <si>
    <t>Ganancia neta esperada</t>
  </si>
  <si>
    <t>Cursos S12</t>
  </si>
  <si>
    <t>POR DEFINIR</t>
  </si>
  <si>
    <t>Estimar precio × asistentes</t>
  </si>
  <si>
    <t>Donaciones / Patrocinios</t>
  </si>
  <si>
    <t>Pipeline pendiente (ej. Jean Pierre)</t>
  </si>
  <si>
    <t>EGRESOS CONFIRMADOS</t>
  </si>
  <si>
    <t>Bienvenida insumos S0</t>
  </si>
  <si>
    <t>S/ 193.17</t>
  </si>
  <si>
    <t>Conciliado EECC 24/03</t>
  </si>
  <si>
    <t>Bienvenida polos/photochecks S0</t>
  </si>
  <si>
    <t>S/ 290.00</t>
  </si>
  <si>
    <t>Conciliado EECC 13 y 18/03</t>
  </si>
  <si>
    <t>BCG Capacitación UP S4</t>
  </si>
  <si>
    <t>S/ 54.83</t>
  </si>
  <si>
    <t>Conciliado EECC BCP — 16/04 Pago YAPE a 191720</t>
  </si>
  <si>
    <t>RUC S5</t>
  </si>
  <si>
    <t>180 Talks S14</t>
  </si>
  <si>
    <t>S/ 1,200</t>
  </si>
  <si>
    <t>Planificado</t>
  </si>
  <si>
    <t>Eventos integración (7 actividades)</t>
  </si>
  <si>
    <t>Capacitación, picnic, integra dir., torneo, reunión, gymkana, almuerzo</t>
  </si>
  <si>
    <t>LEYENDA DE COLORES</t>
  </si>
  <si>
    <t>Texto azul</t>
  </si>
  <si>
    <t>Input editable (hardcoded)</t>
  </si>
  <si>
    <t>Texto negro</t>
  </si>
  <si>
    <t>Fórmula / cálculo</t>
  </si>
  <si>
    <t>Fondo amarillo claro</t>
  </si>
  <si>
    <t>Celda de input</t>
  </si>
  <si>
    <t>Fondo verde</t>
  </si>
  <si>
    <t>Saldo Final (resultado clave)</t>
  </si>
  <si>
    <t>Fondo amarillo</t>
  </si>
  <si>
    <t>Líneas de totales</t>
  </si>
  <si>
    <t>PENDIENTE CONCILIACIÓN</t>
  </si>
  <si>
    <t>CONCILIADO — ver detalle arriba</t>
  </si>
  <si>
    <t>S/ 9.95</t>
  </si>
  <si>
    <t>CONCILIADO. Traslado en 3 partes: 14/04 S/1,000 + S/147.83 (=saldo Interbank S/1,147.83 - ITF S/0.05), luego 19/04 S/20 (fees S4). Saldo BCP al 28/04: S/1,112.95. CUADRA EXACTO.</t>
  </si>
  <si>
    <t>NOTA CONCILIACIÓN S4→S5</t>
  </si>
  <si>
    <t>Saldo inicio S5</t>
  </si>
  <si>
    <t>S/ 1,112.95</t>
  </si>
  <si>
    <t>Hardcodeado con saldo real EECC BCP al 19/04 (fin operaciones S4). Diferencia de S/0.05 vs cálculo (S/1,113.00) = ITF cobrado por BCP sobre la transferencia interbancaria recibida el 14/04. Fuente: EECC BCP abril 2026.</t>
  </si>
  <si>
    <t>Calendario de Actividades — Ciclo 2026-1</t>
  </si>
  <si>
    <t>Fecha</t>
  </si>
  <si>
    <t>Semana</t>
  </si>
  <si>
    <t>Actividad</t>
  </si>
  <si>
    <t>Tipo</t>
  </si>
  <si>
    <t>Notas</t>
  </si>
  <si>
    <t>13–22/03</t>
  </si>
  <si>
    <t>Ejecutado</t>
  </si>
  <si>
    <t>Insumos S/193.17 + polos/photochecks S/290 (inventario)</t>
  </si>
  <si>
    <t>23–29/03</t>
  </si>
  <si>
    <t>Inicio ciclo + cobro fees</t>
  </si>
  <si>
    <t>Recaudación</t>
  </si>
  <si>
    <t>S/580 cobrados (58 aportes)</t>
  </si>
  <si>
    <t>30/03–05/04</t>
  </si>
  <si>
    <t>Cobro fees</t>
  </si>
  <si>
    <t>S/90 cobrados (9 aportes)</t>
  </si>
  <si>
    <t>06–12/04</t>
  </si>
  <si>
    <t>Cobro fees + Capacitación</t>
  </si>
  <si>
    <t>Operativo</t>
  </si>
  <si>
    <t>S/40 cobrados; cap 11/04 sin presupuesto</t>
  </si>
  <si>
    <t>18/04</t>
  </si>
  <si>
    <t>Picnic universidad</t>
  </si>
  <si>
    <t>Integración</t>
  </si>
  <si>
    <t>Actividades artísticas — sin presupuesto</t>
  </si>
  <si>
    <t>25/04</t>
  </si>
  <si>
    <t>Integra de Directores</t>
  </si>
  <si>
    <t>Playa/deporte — después de parciales — sin presupuesto</t>
  </si>
  <si>
    <t>S5–S6</t>
  </si>
  <si>
    <t>Pago RUC</t>
  </si>
  <si>
    <t>S/600 planificado</t>
  </si>
  <si>
    <t>09/05</t>
  </si>
  <si>
    <t>Torneo Deportivo</t>
  </si>
  <si>
    <t>Antes de interfacultades — sin presupuesto</t>
  </si>
  <si>
    <t>30/05</t>
  </si>
  <si>
    <t>Reunión casa de Raúl</t>
  </si>
  <si>
    <t>Antes/después de parciales — sin presupuesto</t>
  </si>
  <si>
    <t>06/06</t>
  </si>
  <si>
    <t>Gymkana</t>
  </si>
  <si>
    <t>Juego de sacos matagente — puede recaudar</t>
  </si>
  <si>
    <t>Cursos</t>
  </si>
  <si>
    <t>RECAUDACIÓN</t>
  </si>
  <si>
    <t>Monto POR DEFINIR</t>
  </si>
  <si>
    <t>Rifas</t>
  </si>
  <si>
    <t>Ganancia neta esperada: S/1,000</t>
  </si>
  <si>
    <t>Evento</t>
  </si>
  <si>
    <t>S/1,200 planificado</t>
  </si>
  <si>
    <t>27/06</t>
  </si>
  <si>
    <t>Almuerzo de la Agrupa</t>
  </si>
  <si>
    <t>Después del 180 Talks — sin presupuesto</t>
  </si>
  <si>
    <t>13–18/07</t>
  </si>
  <si>
    <t>Fin: Sáb 18/07/2026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</si>
</sst>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S/ &quot;* #,##0.00_-;[RED]_-&quot;S/ &quot;* \(#,##0.00\)_-;_-&quot;S/ &quot;* \-??"/>
  </numFmts>
  <fonts count="14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i/>
      <sz val="11.0"/>
      <color rgb="FF595959"/>
      <name val="Arial"/>
    </font>
    <font>
      <sz val="9.0"/>
      <color rgb="FF595959"/>
      <name val="Arial"/>
    </font>
    <font>
      <b/>
      <sz val="10.0"/>
      <color rgb="FFFFFFFF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000000"/>
      <name val="Arial"/>
    </font>
    <font>
      <sz val="11.0"/>
      <color rgb="FF0000FF"/>
      <name val="Calibri"/>
    </font>
    <font>
      <sz val="10.0"/>
      <color theme="1"/>
      <name val="Arial"/>
    </font>
    <font>
      <b/>
      <sz val="11.0"/>
      <color theme="1"/>
      <name val="Cambria"/>
    </font>
    <font>
      <b/>
      <sz val="11.0"/>
      <color rgb="FFFF0000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641F1F"/>
        <bgColor rgb="FF641F1F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rgb="FFEDEDED"/>
        <bgColor rgb="FFEDEDED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2" fillId="4" fontId="8" numFmtId="164" xfId="0" applyAlignment="1" applyBorder="1" applyFill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2" fillId="5" fontId="7" numFmtId="0" xfId="0" applyAlignment="1" applyBorder="1" applyFill="1" applyFont="1">
      <alignment shrinkToFit="0" vertical="bottom" wrapText="0"/>
    </xf>
    <xf borderId="2" fillId="5" fontId="2" numFmtId="0" xfId="0" applyAlignment="1" applyBorder="1" applyFont="1">
      <alignment shrinkToFit="0" vertical="bottom" wrapText="1"/>
    </xf>
    <xf borderId="2" fillId="5" fontId="2" numFmtId="0" xfId="0" applyAlignment="1" applyBorder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6" fontId="2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6" fontId="11" numFmtId="164" xfId="0" applyAlignment="1" applyBorder="1" applyFont="1" applyNumberFormat="1">
      <alignment shrinkToFit="0" vertical="bottom" wrapText="0"/>
    </xf>
    <xf borderId="2" fillId="7" fontId="7" numFmtId="0" xfId="0" applyAlignment="1" applyBorder="1" applyFill="1" applyFont="1">
      <alignment shrinkToFit="0" vertical="bottom" wrapText="0"/>
    </xf>
    <xf borderId="2" fillId="7" fontId="7" numFmtId="0" xfId="0" applyAlignment="1" applyBorder="1" applyFont="1">
      <alignment shrinkToFit="0" vertical="bottom" wrapText="1"/>
    </xf>
    <xf borderId="2" fillId="7" fontId="7" numFmtId="164" xfId="0" applyAlignment="1" applyBorder="1" applyFont="1" applyNumberFormat="1">
      <alignment shrinkToFit="0" vertical="bottom" wrapText="0"/>
    </xf>
    <xf borderId="2" fillId="8" fontId="7" numFmtId="0" xfId="0" applyAlignment="1" applyBorder="1" applyFill="1" applyFont="1">
      <alignment shrinkToFit="0" vertical="bottom" wrapText="0"/>
    </xf>
    <xf borderId="2" fillId="8" fontId="2" numFmtId="0" xfId="0" applyAlignment="1" applyBorder="1" applyFont="1">
      <alignment shrinkToFit="0" vertical="bottom" wrapText="1"/>
    </xf>
    <xf borderId="2" fillId="8" fontId="2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6" fontId="2" numFmtId="0" xfId="0" applyAlignment="1" applyFont="1">
      <alignment readingOrder="0" shrinkToFit="0" vertical="bottom" wrapText="0"/>
    </xf>
    <xf borderId="2" fillId="6" fontId="11" numFmtId="164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2" fillId="7" fontId="2" numFmtId="0" xfId="0" applyAlignment="1" applyBorder="1" applyFont="1">
      <alignment shrinkToFit="0" vertical="bottom" wrapText="1"/>
    </xf>
    <xf borderId="2" fillId="7" fontId="9" numFmtId="164" xfId="0" applyAlignment="1" applyBorder="1" applyFont="1" applyNumberFormat="1">
      <alignment shrinkToFit="0" vertical="bottom" wrapText="0"/>
    </xf>
    <xf borderId="2" fillId="9" fontId="7" numFmtId="0" xfId="0" applyAlignment="1" applyBorder="1" applyFill="1" applyFont="1">
      <alignment shrinkToFit="0" vertical="bottom" wrapText="0"/>
    </xf>
    <xf borderId="2" fillId="9" fontId="7" numFmtId="0" xfId="0" applyAlignment="1" applyBorder="1" applyFont="1">
      <alignment shrinkToFit="0" vertical="bottom" wrapText="1"/>
    </xf>
    <xf borderId="2" fillId="9" fontId="7" numFmtId="164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1" fillId="10" fontId="11" numFmtId="0" xfId="0" applyAlignment="1" applyBorder="1" applyFill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5" fontId="1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7.14"/>
    <col customWidth="1" min="2" max="2" width="31.71"/>
    <col customWidth="1" min="3" max="3" width="11.29"/>
    <col customWidth="1" min="4" max="8" width="11.57"/>
    <col customWidth="1" min="9" max="9" width="11.29"/>
    <col customWidth="1" min="10" max="10" width="12.57"/>
    <col customWidth="1" min="11" max="15" width="10.0"/>
    <col customWidth="1" min="16" max="16" width="11.57"/>
    <col customWidth="1" min="17" max="17" width="12.86"/>
    <col customWidth="1" min="18" max="20" width="10.0"/>
    <col customWidth="1" min="21" max="21" width="11.57"/>
  </cols>
  <sheetData>
    <row r="1" ht="17.25" customHeight="1">
      <c r="A1" s="1" t="s">
        <v>0</v>
      </c>
      <c r="V1" s="2"/>
      <c r="W1" s="2"/>
      <c r="X1" s="2"/>
      <c r="Y1" s="2"/>
      <c r="Z1" s="2"/>
    </row>
    <row r="2" ht="15.0" customHeight="1">
      <c r="A2" s="3" t="s">
        <v>1</v>
      </c>
      <c r="V2" s="2"/>
      <c r="W2" s="2"/>
      <c r="X2" s="2"/>
      <c r="Y2" s="2"/>
      <c r="Z2" s="2"/>
    </row>
    <row r="3" ht="15.0" customHeight="1">
      <c r="A3" s="4" t="s">
        <v>2</v>
      </c>
      <c r="V3" s="2"/>
      <c r="W3" s="2"/>
      <c r="X3" s="2"/>
      <c r="Y3" s="2"/>
      <c r="Z3" s="2"/>
    </row>
    <row r="4">
      <c r="A4" s="2"/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6" t="s">
        <v>3</v>
      </c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2"/>
      <c r="W5" s="2"/>
      <c r="X5" s="2"/>
      <c r="Y5" s="2"/>
      <c r="Z5" s="2"/>
    </row>
    <row r="6" ht="15.0" customHeight="1">
      <c r="A6" s="8" t="s">
        <v>24</v>
      </c>
      <c r="B6" s="5"/>
      <c r="C6" s="9" t="s">
        <v>25</v>
      </c>
      <c r="D6" s="9" t="s">
        <v>26</v>
      </c>
      <c r="E6" s="9" t="s">
        <v>27</v>
      </c>
      <c r="F6" s="9" t="s">
        <v>28</v>
      </c>
      <c r="G6" s="9" t="s">
        <v>29</v>
      </c>
      <c r="H6" s="9" t="s">
        <v>30</v>
      </c>
      <c r="I6" s="9" t="s">
        <v>31</v>
      </c>
      <c r="J6" s="9" t="s">
        <v>32</v>
      </c>
      <c r="K6" s="9" t="s">
        <v>33</v>
      </c>
      <c r="L6" s="9" t="s">
        <v>34</v>
      </c>
      <c r="M6" s="9" t="s">
        <v>35</v>
      </c>
      <c r="N6" s="9" t="s">
        <v>36</v>
      </c>
      <c r="O6" s="9" t="s">
        <v>37</v>
      </c>
      <c r="P6" s="9" t="s">
        <v>38</v>
      </c>
      <c r="Q6" s="9" t="s">
        <v>39</v>
      </c>
      <c r="R6" s="9" t="s">
        <v>40</v>
      </c>
      <c r="S6" s="9" t="s">
        <v>41</v>
      </c>
      <c r="T6" s="9" t="s">
        <v>42</v>
      </c>
      <c r="U6" s="2"/>
      <c r="V6" s="2"/>
      <c r="W6" s="2"/>
      <c r="X6" s="2"/>
      <c r="Y6" s="2"/>
      <c r="Z6" s="2"/>
    </row>
    <row r="7" ht="15.0" customHeight="1">
      <c r="A7" s="10" t="s">
        <v>43</v>
      </c>
      <c r="B7" s="5"/>
      <c r="C7" s="11">
        <v>921.05</v>
      </c>
      <c r="D7" s="12">
        <f t="shared" ref="D7:G7" si="1">C42</f>
        <v>437.88</v>
      </c>
      <c r="E7" s="12">
        <f t="shared" si="1"/>
        <v>1017.88</v>
      </c>
      <c r="F7" s="12">
        <f t="shared" si="1"/>
        <v>1107.88</v>
      </c>
      <c r="G7" s="12">
        <f t="shared" si="1"/>
        <v>1147.88</v>
      </c>
      <c r="H7" s="12">
        <v>1112.95</v>
      </c>
      <c r="I7" s="12">
        <f t="shared" ref="I7:T7" si="2">H42</f>
        <v>1102.95</v>
      </c>
      <c r="J7" s="12">
        <f t="shared" si="2"/>
        <v>1112.95</v>
      </c>
      <c r="K7" s="12">
        <f t="shared" si="2"/>
        <v>472.95</v>
      </c>
      <c r="L7" s="12">
        <f t="shared" si="2"/>
        <v>472.95</v>
      </c>
      <c r="M7" s="12">
        <f t="shared" si="2"/>
        <v>472.95</v>
      </c>
      <c r="N7" s="12">
        <f t="shared" si="2"/>
        <v>772.95</v>
      </c>
      <c r="O7" s="12">
        <f t="shared" si="2"/>
        <v>772.95</v>
      </c>
      <c r="P7" s="12">
        <f t="shared" si="2"/>
        <v>772.95</v>
      </c>
      <c r="Q7" s="12">
        <f t="shared" si="2"/>
        <v>1772.95</v>
      </c>
      <c r="R7" s="12">
        <f t="shared" si="2"/>
        <v>572.95</v>
      </c>
      <c r="S7" s="12">
        <f t="shared" si="2"/>
        <v>572.95</v>
      </c>
      <c r="T7" s="12">
        <f t="shared" si="2"/>
        <v>572.95</v>
      </c>
      <c r="U7" s="13">
        <v>921.05</v>
      </c>
      <c r="V7" s="2"/>
      <c r="W7" s="2"/>
      <c r="X7" s="2"/>
      <c r="Y7" s="2"/>
      <c r="Z7" s="2"/>
    </row>
    <row r="8" ht="15.0" customHeight="1">
      <c r="A8" s="14" t="s">
        <v>44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2"/>
      <c r="W8" s="2"/>
      <c r="X8" s="2"/>
      <c r="Y8" s="2"/>
      <c r="Z8" s="2"/>
    </row>
    <row r="9" ht="15.0" customHeight="1">
      <c r="A9" s="2"/>
      <c r="B9" s="5" t="s">
        <v>45</v>
      </c>
      <c r="C9" s="2"/>
      <c r="D9" s="11">
        <v>580.0</v>
      </c>
      <c r="E9" s="11">
        <v>90.0</v>
      </c>
      <c r="F9" s="11">
        <v>40.0</v>
      </c>
      <c r="G9" s="11">
        <v>20.0</v>
      </c>
      <c r="H9" s="17">
        <v>10.0</v>
      </c>
      <c r="I9" s="17">
        <v>10.0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2">
        <f t="shared" ref="U9:U11" si="3">SUM(C9:T9)</f>
        <v>750</v>
      </c>
      <c r="V9" s="2"/>
      <c r="W9" s="2"/>
      <c r="X9" s="2"/>
      <c r="Y9" s="2"/>
      <c r="Z9" s="2"/>
    </row>
    <row r="10" ht="15.0" customHeight="1">
      <c r="A10" s="2"/>
      <c r="B10" s="5" t="s">
        <v>46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2">
        <f t="shared" si="3"/>
        <v>0</v>
      </c>
      <c r="V10" s="2"/>
      <c r="W10" s="2"/>
      <c r="X10" s="2"/>
      <c r="Y10" s="2"/>
      <c r="Z10" s="2"/>
    </row>
    <row r="11" ht="15.0" customHeight="1">
      <c r="A11" s="2"/>
      <c r="B11" s="5" t="s">
        <v>47</v>
      </c>
      <c r="C11" s="2"/>
      <c r="D11" s="2"/>
      <c r="E11" s="2"/>
      <c r="F11" s="2"/>
      <c r="G11" s="2"/>
      <c r="H11" s="2"/>
      <c r="I11" s="2"/>
      <c r="J11" s="18">
        <v>250.0</v>
      </c>
      <c r="K11" s="19"/>
      <c r="L11" s="2"/>
      <c r="M11" s="2"/>
      <c r="N11" s="2"/>
      <c r="O11" s="2"/>
      <c r="P11" s="2"/>
      <c r="Q11" s="2"/>
      <c r="R11" s="2"/>
      <c r="S11" s="2"/>
      <c r="T11" s="2"/>
      <c r="U11" s="2">
        <f t="shared" si="3"/>
        <v>250</v>
      </c>
      <c r="V11" s="2"/>
      <c r="W11" s="2"/>
      <c r="X11" s="2"/>
      <c r="Y11" s="2"/>
      <c r="Z11" s="2"/>
    </row>
    <row r="12" ht="15.0" customHeight="1">
      <c r="A12" s="2"/>
      <c r="B12" s="5" t="s">
        <v>48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2">
        <f t="shared" ref="U12:U15" si="4">SUM(C11:T11)</f>
        <v>250</v>
      </c>
      <c r="V12" s="2"/>
      <c r="W12" s="2"/>
      <c r="X12" s="2"/>
      <c r="Y12" s="2"/>
      <c r="Z12" s="2"/>
    </row>
    <row r="13" ht="15.0" customHeight="1">
      <c r="A13" s="2"/>
      <c r="B13" s="5" t="s">
        <v>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18">
        <v>300.0</v>
      </c>
      <c r="N13" s="2"/>
      <c r="O13" s="2"/>
      <c r="P13" s="2"/>
      <c r="Q13" s="2"/>
      <c r="R13" s="2"/>
      <c r="S13" s="2"/>
      <c r="T13" s="2"/>
      <c r="U13" s="12">
        <f t="shared" si="4"/>
        <v>0</v>
      </c>
      <c r="V13" s="2"/>
      <c r="W13" s="2"/>
      <c r="X13" s="2"/>
      <c r="Y13" s="2"/>
      <c r="Z13" s="2"/>
    </row>
    <row r="14" ht="15.0" customHeight="1">
      <c r="A14" s="2"/>
      <c r="B14" s="5" t="s">
        <v>50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0">
        <v>1000.0</v>
      </c>
      <c r="Q14" s="2"/>
      <c r="R14" s="2"/>
      <c r="S14" s="2"/>
      <c r="T14" s="2"/>
      <c r="U14" s="12">
        <f t="shared" si="4"/>
        <v>300</v>
      </c>
      <c r="V14" s="2"/>
      <c r="W14" s="2"/>
      <c r="X14" s="2"/>
      <c r="Y14" s="2"/>
      <c r="Z14" s="2"/>
    </row>
    <row r="15" ht="15.0" customHeight="1">
      <c r="A15" s="2"/>
      <c r="B15" s="5" t="s">
        <v>51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2">
        <f t="shared" si="4"/>
        <v>1000</v>
      </c>
      <c r="V15" s="2"/>
      <c r="W15" s="2"/>
      <c r="X15" s="2"/>
      <c r="Y15" s="2"/>
      <c r="Z15" s="2"/>
    </row>
    <row r="16">
      <c r="A16" s="21" t="s">
        <v>52</v>
      </c>
      <c r="B16" s="22"/>
      <c r="C16" s="23">
        <f t="shared" ref="C16:U16" si="5">SUM(C9:C15)</f>
        <v>0</v>
      </c>
      <c r="D16" s="23">
        <f t="shared" si="5"/>
        <v>580</v>
      </c>
      <c r="E16" s="23">
        <f t="shared" si="5"/>
        <v>90</v>
      </c>
      <c r="F16" s="23">
        <f t="shared" si="5"/>
        <v>40</v>
      </c>
      <c r="G16" s="23">
        <f t="shared" si="5"/>
        <v>20</v>
      </c>
      <c r="H16" s="23">
        <f t="shared" si="5"/>
        <v>10</v>
      </c>
      <c r="I16" s="23">
        <f t="shared" si="5"/>
        <v>10</v>
      </c>
      <c r="J16" s="23">
        <f t="shared" si="5"/>
        <v>250</v>
      </c>
      <c r="K16" s="23">
        <f t="shared" si="5"/>
        <v>0</v>
      </c>
      <c r="L16" s="23">
        <f t="shared" si="5"/>
        <v>0</v>
      </c>
      <c r="M16" s="23">
        <f t="shared" si="5"/>
        <v>300</v>
      </c>
      <c r="N16" s="23">
        <f t="shared" si="5"/>
        <v>0</v>
      </c>
      <c r="O16" s="23">
        <f t="shared" si="5"/>
        <v>0</v>
      </c>
      <c r="P16" s="23">
        <f t="shared" si="5"/>
        <v>1000</v>
      </c>
      <c r="Q16" s="23">
        <f t="shared" si="5"/>
        <v>0</v>
      </c>
      <c r="R16" s="23">
        <f t="shared" si="5"/>
        <v>0</v>
      </c>
      <c r="S16" s="23">
        <f t="shared" si="5"/>
        <v>0</v>
      </c>
      <c r="T16" s="23">
        <f t="shared" si="5"/>
        <v>0</v>
      </c>
      <c r="U16" s="23">
        <f t="shared" si="5"/>
        <v>2550</v>
      </c>
      <c r="V16" s="2"/>
      <c r="W16" s="2"/>
      <c r="X16" s="2"/>
      <c r="Y16" s="2"/>
      <c r="Z16" s="2"/>
    </row>
    <row r="17" ht="15.0" customHeight="1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4" t="s">
        <v>53</v>
      </c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"/>
      <c r="W18" s="2"/>
      <c r="X18" s="2"/>
      <c r="Y18" s="2"/>
      <c r="Z18" s="2"/>
    </row>
    <row r="19" ht="15.0" customHeight="1">
      <c r="A19" s="2"/>
      <c r="B19" s="5" t="s">
        <v>54</v>
      </c>
      <c r="C19" s="11">
        <v>62.0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2">
        <f t="shared" ref="U19:U22" si="6">SUM(C18:T18)</f>
        <v>0</v>
      </c>
      <c r="V19" s="2"/>
      <c r="W19" s="2"/>
      <c r="X19" s="2"/>
      <c r="Y19" s="2"/>
      <c r="Z19" s="2"/>
    </row>
    <row r="20" ht="15.0" customHeight="1">
      <c r="A20" s="2"/>
      <c r="B20" s="5" t="s">
        <v>55</v>
      </c>
      <c r="C20" s="11">
        <v>131.17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2">
        <f t="shared" si="6"/>
        <v>62</v>
      </c>
      <c r="V20" s="2"/>
      <c r="W20" s="2"/>
      <c r="X20" s="2"/>
      <c r="Y20" s="2"/>
      <c r="Z20" s="2"/>
    </row>
    <row r="21" ht="15.0" customHeight="1">
      <c r="A21" s="2"/>
      <c r="B21" s="5" t="s">
        <v>56</v>
      </c>
      <c r="C21" s="17">
        <v>50.0</v>
      </c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3">
        <f t="shared" si="6"/>
        <v>131.17</v>
      </c>
      <c r="V21" s="2"/>
      <c r="W21" s="2"/>
      <c r="X21" s="2"/>
      <c r="Y21" s="2"/>
      <c r="Z21" s="2"/>
    </row>
    <row r="22" ht="15.0" customHeight="1">
      <c r="A22" s="2"/>
      <c r="B22" s="5" t="s">
        <v>57</v>
      </c>
      <c r="C22" s="17">
        <v>240.0</v>
      </c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>
        <f t="shared" si="6"/>
        <v>50</v>
      </c>
      <c r="V22" s="2"/>
      <c r="W22" s="2"/>
      <c r="X22" s="2"/>
      <c r="Y22" s="2"/>
      <c r="Z22" s="2"/>
    </row>
    <row r="23" ht="15.0" customHeight="1">
      <c r="A23" s="2"/>
      <c r="B23" s="5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2"/>
      <c r="V23" s="2"/>
      <c r="W23" s="2"/>
      <c r="X23" s="2"/>
      <c r="Y23" s="2"/>
      <c r="Z23" s="2"/>
    </row>
    <row r="24" ht="15.75" customHeight="1">
      <c r="A24" s="2"/>
      <c r="B24" s="5" t="s">
        <v>58</v>
      </c>
      <c r="C24" s="27"/>
      <c r="D24" s="27"/>
      <c r="E24" s="27"/>
      <c r="F24" s="27"/>
      <c r="G24" s="27"/>
      <c r="H24" s="27"/>
      <c r="I24" s="27"/>
      <c r="J24" s="18">
        <v>800.0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12">
        <f>SUM(C23:T23)</f>
        <v>0</v>
      </c>
      <c r="V24" s="2"/>
      <c r="W24" s="2"/>
      <c r="X24" s="2"/>
      <c r="Y24" s="2"/>
      <c r="Z24" s="2"/>
    </row>
    <row r="25" ht="15.75" customHeight="1">
      <c r="A25" s="2"/>
      <c r="B25" s="5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2"/>
      <c r="V25" s="2"/>
      <c r="W25" s="2"/>
      <c r="X25" s="2"/>
      <c r="Y25" s="2"/>
      <c r="Z25" s="2"/>
    </row>
    <row r="26" ht="15.75" customHeight="1">
      <c r="A26" s="2"/>
      <c r="B26" s="28" t="s">
        <v>59</v>
      </c>
      <c r="C26" s="27"/>
      <c r="D26" s="27"/>
      <c r="E26" s="27"/>
      <c r="F26" s="27"/>
      <c r="G26" s="17"/>
      <c r="H26" s="27"/>
      <c r="I26" s="27"/>
      <c r="J26" s="29">
        <v>90.0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12"/>
      <c r="V26" s="2"/>
      <c r="W26" s="2"/>
      <c r="X26" s="2"/>
      <c r="Y26" s="2"/>
      <c r="Z26" s="2"/>
    </row>
    <row r="27" ht="15.75" customHeight="1">
      <c r="A27" s="2"/>
      <c r="B27" s="5" t="s">
        <v>60</v>
      </c>
      <c r="C27" s="27"/>
      <c r="D27" s="27"/>
      <c r="E27" s="27"/>
      <c r="F27" s="27"/>
      <c r="G27" s="17">
        <v>54.83</v>
      </c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2"/>
      <c r="V27" s="2"/>
      <c r="W27" s="2"/>
      <c r="X27" s="2"/>
      <c r="Y27" s="2"/>
      <c r="Z27" s="2"/>
    </row>
    <row r="28" ht="15.75" customHeight="1">
      <c r="A28" s="2"/>
      <c r="B28" s="5" t="s">
        <v>61</v>
      </c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30">
        <v>1200.0</v>
      </c>
      <c r="R28" s="2"/>
      <c r="S28" s="2"/>
      <c r="T28" s="2"/>
      <c r="U28" s="12">
        <f t="shared" ref="U28:U29" si="7">SUM(C24:T24)</f>
        <v>800</v>
      </c>
      <c r="V28" s="2"/>
      <c r="W28" s="2"/>
      <c r="X28" s="2"/>
      <c r="Y28" s="2"/>
      <c r="Z28" s="2"/>
    </row>
    <row r="29" ht="15.75" customHeight="1">
      <c r="A29" s="2"/>
      <c r="B29" s="5" t="s">
        <v>62</v>
      </c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2">
        <f t="shared" si="7"/>
        <v>0</v>
      </c>
      <c r="V29" s="2"/>
      <c r="W29" s="2"/>
      <c r="X29" s="2"/>
      <c r="Y29" s="2"/>
      <c r="Z29" s="2"/>
    </row>
    <row r="30" ht="15.75" customHeight="1">
      <c r="A30" s="2"/>
      <c r="B30" s="5" t="s">
        <v>63</v>
      </c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2">
        <f t="shared" ref="U30:U36" si="8">SUM(C27:T27)</f>
        <v>54.83</v>
      </c>
      <c r="V30" s="2"/>
      <c r="W30" s="2"/>
      <c r="X30" s="2"/>
      <c r="Y30" s="2"/>
      <c r="Z30" s="2"/>
    </row>
    <row r="31" ht="15.75" customHeight="1">
      <c r="A31" s="2"/>
      <c r="B31" s="5" t="s">
        <v>64</v>
      </c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2">
        <f t="shared" si="8"/>
        <v>1200</v>
      </c>
      <c r="V31" s="2"/>
      <c r="W31" s="2"/>
      <c r="X31" s="2"/>
      <c r="Y31" s="2"/>
      <c r="Z31" s="2"/>
    </row>
    <row r="32" ht="15.75" customHeight="1">
      <c r="A32" s="2"/>
      <c r="B32" s="5" t="s">
        <v>65</v>
      </c>
      <c r="C32" s="27"/>
      <c r="D32" s="27"/>
      <c r="E32" s="27"/>
      <c r="F32" s="27"/>
      <c r="G32" s="27"/>
      <c r="H32" s="27"/>
      <c r="I32" s="31">
        <v>0.0</v>
      </c>
      <c r="J32" s="2"/>
      <c r="K32" s="19"/>
      <c r="L32" s="2"/>
      <c r="M32" s="2"/>
      <c r="N32" s="2"/>
      <c r="O32" s="2"/>
      <c r="P32" s="2"/>
      <c r="Q32" s="2"/>
      <c r="R32" s="2"/>
      <c r="S32" s="2"/>
      <c r="T32" s="2"/>
      <c r="U32" s="12">
        <f t="shared" si="8"/>
        <v>0</v>
      </c>
      <c r="V32" s="2"/>
      <c r="W32" s="2"/>
      <c r="X32" s="2"/>
      <c r="Y32" s="2"/>
      <c r="Z32" s="2"/>
    </row>
    <row r="33" ht="15.75" customHeight="1">
      <c r="A33" s="2"/>
      <c r="B33" s="5" t="s">
        <v>66</v>
      </c>
      <c r="C33" s="27"/>
      <c r="D33" s="27"/>
      <c r="E33" s="27"/>
      <c r="F33" s="27"/>
      <c r="G33" s="27"/>
      <c r="H33" s="27"/>
      <c r="I33" s="27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2">
        <f t="shared" si="8"/>
        <v>0</v>
      </c>
      <c r="V33" s="2"/>
      <c r="W33" s="2"/>
      <c r="X33" s="2"/>
      <c r="Y33" s="2"/>
      <c r="Z33" s="2"/>
    </row>
    <row r="34" ht="15.75" customHeight="1">
      <c r="A34" s="2"/>
      <c r="B34" s="5" t="s">
        <v>67</v>
      </c>
      <c r="C34" s="27"/>
      <c r="D34" s="27"/>
      <c r="E34" s="27"/>
      <c r="F34" s="27"/>
      <c r="G34" s="27"/>
      <c r="H34" s="27"/>
      <c r="I34" s="27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2">
        <f t="shared" si="8"/>
        <v>0</v>
      </c>
      <c r="V34" s="2"/>
      <c r="W34" s="2"/>
      <c r="X34" s="2"/>
      <c r="Y34" s="2"/>
      <c r="Z34" s="2"/>
    </row>
    <row r="35" ht="15.75" customHeight="1">
      <c r="A35" s="2"/>
      <c r="B35" s="5" t="s">
        <v>68</v>
      </c>
      <c r="C35" s="27"/>
      <c r="D35" s="27"/>
      <c r="E35" s="27"/>
      <c r="F35" s="27"/>
      <c r="G35" s="27"/>
      <c r="H35" s="27"/>
      <c r="I35" s="27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2">
        <f t="shared" si="8"/>
        <v>0</v>
      </c>
      <c r="V35" s="2"/>
      <c r="W35" s="2"/>
      <c r="X35" s="2"/>
      <c r="Y35" s="2"/>
      <c r="Z35" s="2"/>
    </row>
    <row r="36" ht="15.75" customHeight="1">
      <c r="A36" s="2"/>
      <c r="B36" s="5" t="s">
        <v>69</v>
      </c>
      <c r="C36" s="27"/>
      <c r="D36" s="27"/>
      <c r="E36" s="27"/>
      <c r="F36" s="27"/>
      <c r="G36" s="27"/>
      <c r="H36" s="17">
        <v>20.0</v>
      </c>
      <c r="I36" s="27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2">
        <f t="shared" si="8"/>
        <v>0</v>
      </c>
      <c r="V36" s="2"/>
      <c r="W36" s="2"/>
      <c r="X36" s="2"/>
      <c r="Y36" s="2"/>
      <c r="Z36" s="2"/>
    </row>
    <row r="37" ht="15.75" customHeight="1">
      <c r="A37" s="2"/>
      <c r="B37" s="5" t="s">
        <v>70</v>
      </c>
      <c r="C37" s="27"/>
      <c r="D37" s="27"/>
      <c r="E37" s="27"/>
      <c r="F37" s="27"/>
      <c r="G37" s="17">
        <v>0.05</v>
      </c>
      <c r="H37" s="27"/>
      <c r="I37" s="27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>
        <f>SUM(C36:T36)</f>
        <v>20</v>
      </c>
      <c r="V37" s="2"/>
      <c r="W37" s="2"/>
      <c r="X37" s="2"/>
      <c r="Y37" s="2"/>
      <c r="Z37" s="2"/>
    </row>
    <row r="38" ht="15.75" customHeight="1">
      <c r="A38" s="2"/>
      <c r="B38" s="5" t="s">
        <v>71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2">
        <f>SUM(C34:T34)</f>
        <v>0</v>
      </c>
      <c r="V38" s="2"/>
      <c r="W38" s="2"/>
      <c r="X38" s="2"/>
      <c r="Y38" s="2"/>
      <c r="Z38" s="2"/>
    </row>
    <row r="39" ht="15.75" customHeight="1">
      <c r="A39" s="21" t="s">
        <v>72</v>
      </c>
      <c r="B39" s="22"/>
      <c r="C39" s="23">
        <f t="shared" ref="C39:U39" si="9">SUM(C18:C38)</f>
        <v>483.17</v>
      </c>
      <c r="D39" s="23">
        <f t="shared" si="9"/>
        <v>0</v>
      </c>
      <c r="E39" s="23">
        <f t="shared" si="9"/>
        <v>0</v>
      </c>
      <c r="F39" s="23">
        <f t="shared" si="9"/>
        <v>0</v>
      </c>
      <c r="G39" s="23">
        <f t="shared" si="9"/>
        <v>54.88</v>
      </c>
      <c r="H39" s="23">
        <f t="shared" si="9"/>
        <v>20</v>
      </c>
      <c r="I39" s="23">
        <f t="shared" si="9"/>
        <v>0</v>
      </c>
      <c r="J39" s="23">
        <f t="shared" si="9"/>
        <v>890</v>
      </c>
      <c r="K39" s="23">
        <f t="shared" si="9"/>
        <v>0</v>
      </c>
      <c r="L39" s="23">
        <f t="shared" si="9"/>
        <v>0</v>
      </c>
      <c r="M39" s="23">
        <f t="shared" si="9"/>
        <v>0</v>
      </c>
      <c r="N39" s="23">
        <f t="shared" si="9"/>
        <v>0</v>
      </c>
      <c r="O39" s="23">
        <f t="shared" si="9"/>
        <v>0</v>
      </c>
      <c r="P39" s="23">
        <f t="shared" si="9"/>
        <v>0</v>
      </c>
      <c r="Q39" s="23">
        <f t="shared" si="9"/>
        <v>1200</v>
      </c>
      <c r="R39" s="23">
        <f t="shared" si="9"/>
        <v>0</v>
      </c>
      <c r="S39" s="23">
        <f t="shared" si="9"/>
        <v>0</v>
      </c>
      <c r="T39" s="23">
        <f t="shared" si="9"/>
        <v>0</v>
      </c>
      <c r="U39" s="23">
        <f t="shared" si="9"/>
        <v>2318</v>
      </c>
      <c r="V39" s="2"/>
      <c r="W39" s="2"/>
      <c r="X39" s="2"/>
      <c r="Y39" s="2"/>
      <c r="Z39" s="2"/>
    </row>
    <row r="40" ht="15.75" customHeight="1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1" t="s">
        <v>73</v>
      </c>
      <c r="B41" s="32"/>
      <c r="C41" s="33">
        <f t="shared" ref="C41:U41" si="10">C16-C39</f>
        <v>-483.17</v>
      </c>
      <c r="D41" s="33">
        <f t="shared" si="10"/>
        <v>580</v>
      </c>
      <c r="E41" s="33">
        <f t="shared" si="10"/>
        <v>90</v>
      </c>
      <c r="F41" s="33">
        <f t="shared" si="10"/>
        <v>40</v>
      </c>
      <c r="G41" s="33">
        <f t="shared" si="10"/>
        <v>-34.88</v>
      </c>
      <c r="H41" s="33">
        <f t="shared" si="10"/>
        <v>-10</v>
      </c>
      <c r="I41" s="33">
        <f t="shared" si="10"/>
        <v>10</v>
      </c>
      <c r="J41" s="33">
        <f t="shared" si="10"/>
        <v>-640</v>
      </c>
      <c r="K41" s="33">
        <f t="shared" si="10"/>
        <v>0</v>
      </c>
      <c r="L41" s="33">
        <f t="shared" si="10"/>
        <v>0</v>
      </c>
      <c r="M41" s="33">
        <f t="shared" si="10"/>
        <v>300</v>
      </c>
      <c r="N41" s="33">
        <f t="shared" si="10"/>
        <v>0</v>
      </c>
      <c r="O41" s="33">
        <f t="shared" si="10"/>
        <v>0</v>
      </c>
      <c r="P41" s="33">
        <f t="shared" si="10"/>
        <v>1000</v>
      </c>
      <c r="Q41" s="33">
        <f t="shared" si="10"/>
        <v>-1200</v>
      </c>
      <c r="R41" s="33">
        <f t="shared" si="10"/>
        <v>0</v>
      </c>
      <c r="S41" s="33">
        <f t="shared" si="10"/>
        <v>0</v>
      </c>
      <c r="T41" s="33">
        <f t="shared" si="10"/>
        <v>0</v>
      </c>
      <c r="U41" s="33">
        <f t="shared" si="10"/>
        <v>232</v>
      </c>
      <c r="V41" s="2"/>
      <c r="W41" s="2"/>
      <c r="X41" s="2"/>
      <c r="Y41" s="2"/>
      <c r="Z41" s="2"/>
    </row>
    <row r="42" ht="15.75" customHeight="1">
      <c r="A42" s="34" t="s">
        <v>74</v>
      </c>
      <c r="B42" s="35"/>
      <c r="C42" s="36">
        <f t="shared" ref="C42:T42" si="11">C7+C41</f>
        <v>437.88</v>
      </c>
      <c r="D42" s="36">
        <f t="shared" si="11"/>
        <v>1017.88</v>
      </c>
      <c r="E42" s="36">
        <f t="shared" si="11"/>
        <v>1107.88</v>
      </c>
      <c r="F42" s="36">
        <f t="shared" si="11"/>
        <v>1147.88</v>
      </c>
      <c r="G42" s="36">
        <f t="shared" si="11"/>
        <v>1113</v>
      </c>
      <c r="H42" s="36">
        <f t="shared" si="11"/>
        <v>1102.95</v>
      </c>
      <c r="I42" s="36">
        <f t="shared" si="11"/>
        <v>1112.95</v>
      </c>
      <c r="J42" s="36">
        <f t="shared" si="11"/>
        <v>472.95</v>
      </c>
      <c r="K42" s="36">
        <f t="shared" si="11"/>
        <v>472.95</v>
      </c>
      <c r="L42" s="36">
        <f t="shared" si="11"/>
        <v>472.95</v>
      </c>
      <c r="M42" s="36">
        <f t="shared" si="11"/>
        <v>772.95</v>
      </c>
      <c r="N42" s="36">
        <f t="shared" si="11"/>
        <v>772.95</v>
      </c>
      <c r="O42" s="36">
        <f t="shared" si="11"/>
        <v>772.95</v>
      </c>
      <c r="P42" s="36">
        <f t="shared" si="11"/>
        <v>1772.95</v>
      </c>
      <c r="Q42" s="36">
        <f t="shared" si="11"/>
        <v>572.95</v>
      </c>
      <c r="R42" s="36">
        <f t="shared" si="11"/>
        <v>572.95</v>
      </c>
      <c r="S42" s="36">
        <f t="shared" si="11"/>
        <v>572.95</v>
      </c>
      <c r="T42" s="36">
        <f t="shared" si="11"/>
        <v>572.95</v>
      </c>
      <c r="U42" s="36">
        <f>T42</f>
        <v>572.95</v>
      </c>
      <c r="V42" s="2"/>
      <c r="W42" s="2"/>
      <c r="X42" s="2"/>
      <c r="Y42" s="2"/>
      <c r="Z42" s="2"/>
    </row>
    <row r="43" ht="15.75" customHeight="1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5"/>
      <c r="C44" s="2"/>
      <c r="D44" s="2"/>
      <c r="E44" s="2"/>
      <c r="F44" s="1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/>
      <c r="C45" s="2"/>
      <c r="D45" s="2"/>
      <c r="E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5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A1:U1"/>
    <mergeCell ref="A2:U2"/>
    <mergeCell ref="A3:U3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8.0"/>
    <col customWidth="1" min="3" max="3" width="55.0"/>
    <col customWidth="1" min="4" max="6" width="8.71"/>
  </cols>
  <sheetData>
    <row r="1" ht="17.25" customHeight="1">
      <c r="A1" s="1" t="s">
        <v>75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0"/>
      <c r="B2" s="37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 t="s">
        <v>76</v>
      </c>
      <c r="B3" s="37" t="s">
        <v>77</v>
      </c>
      <c r="C3" s="8" t="s">
        <v>78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 t="s">
        <v>5</v>
      </c>
      <c r="B4" s="37" t="s">
        <v>79</v>
      </c>
      <c r="C4" s="8" t="s">
        <v>80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 t="s">
        <v>6</v>
      </c>
      <c r="B5" s="37" t="s">
        <v>81</v>
      </c>
      <c r="C5" s="8" t="s">
        <v>82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 t="s">
        <v>10</v>
      </c>
      <c r="B6" s="37" t="s">
        <v>83</v>
      </c>
      <c r="C6" s="8" t="s">
        <v>84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 t="s">
        <v>17</v>
      </c>
      <c r="B7" s="37" t="s">
        <v>85</v>
      </c>
      <c r="C7" s="8" t="s">
        <v>86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 t="s">
        <v>18</v>
      </c>
      <c r="B8" s="37" t="s">
        <v>87</v>
      </c>
      <c r="C8" s="8" t="s">
        <v>88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 t="s">
        <v>19</v>
      </c>
      <c r="B9" s="37" t="s">
        <v>89</v>
      </c>
      <c r="C9" s="8" t="s">
        <v>90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 t="s">
        <v>22</v>
      </c>
      <c r="B10" s="37" t="s">
        <v>91</v>
      </c>
      <c r="C10" s="8" t="s">
        <v>92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/>
      <c r="B11" s="37"/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 t="s">
        <v>43</v>
      </c>
      <c r="B12" s="37" t="s">
        <v>93</v>
      </c>
      <c r="C12" s="8" t="s">
        <v>94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38" t="s">
        <v>95</v>
      </c>
      <c r="B13" s="2" t="s">
        <v>96</v>
      </c>
      <c r="C13" s="2" t="s">
        <v>97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/>
      <c r="B14" s="37"/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 t="s">
        <v>98</v>
      </c>
      <c r="B15" s="37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 t="s">
        <v>99</v>
      </c>
      <c r="B16" s="37" t="s">
        <v>100</v>
      </c>
      <c r="C16" s="8" t="s">
        <v>101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 t="s">
        <v>102</v>
      </c>
      <c r="B17" s="37" t="s">
        <v>103</v>
      </c>
      <c r="C17" s="8" t="s">
        <v>104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 t="s">
        <v>105</v>
      </c>
      <c r="B18" s="37" t="s">
        <v>106</v>
      </c>
      <c r="C18" s="8" t="s">
        <v>107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 t="s">
        <v>108</v>
      </c>
      <c r="B19" s="2" t="s">
        <v>109</v>
      </c>
      <c r="C19" s="2" t="s">
        <v>110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 t="s">
        <v>111</v>
      </c>
      <c r="B20" s="2" t="s">
        <v>112</v>
      </c>
      <c r="C20" s="2" t="s">
        <v>113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114</v>
      </c>
      <c r="B21" s="2" t="s">
        <v>112</v>
      </c>
      <c r="C21" s="2" t="s">
        <v>115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116</v>
      </c>
      <c r="B22" s="2" t="s">
        <v>117</v>
      </c>
      <c r="C22" s="2" t="s">
        <v>118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119</v>
      </c>
      <c r="B23" s="2" t="s">
        <v>120</v>
      </c>
      <c r="C23" s="2" t="s">
        <v>121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/>
      <c r="B24" s="37"/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 t="s">
        <v>122</v>
      </c>
      <c r="B25" s="37"/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 t="s">
        <v>123</v>
      </c>
      <c r="B26" s="37" t="s">
        <v>124</v>
      </c>
      <c r="C26" s="8" t="s">
        <v>125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 t="s">
        <v>126</v>
      </c>
      <c r="B27" s="37" t="s">
        <v>127</v>
      </c>
      <c r="C27" s="8" t="s">
        <v>128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 t="s">
        <v>129</v>
      </c>
      <c r="B28" s="37" t="s">
        <v>127</v>
      </c>
      <c r="C28" s="8" t="s">
        <v>130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/>
      <c r="B29" s="37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 t="s">
        <v>131</v>
      </c>
      <c r="B30" s="37"/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132</v>
      </c>
      <c r="B31" s="37" t="s">
        <v>133</v>
      </c>
      <c r="C31" s="8" t="s">
        <v>134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 t="s">
        <v>135</v>
      </c>
      <c r="B32" s="37" t="s">
        <v>136</v>
      </c>
      <c r="C32" s="8" t="s">
        <v>137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138</v>
      </c>
      <c r="B33" s="2" t="s">
        <v>139</v>
      </c>
      <c r="C33" s="2" t="s">
        <v>140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119</v>
      </c>
      <c r="B34" s="2" t="s">
        <v>120</v>
      </c>
      <c r="C34" s="2" t="s">
        <v>121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0" t="s">
        <v>141</v>
      </c>
      <c r="B35" s="37" t="s">
        <v>77</v>
      </c>
      <c r="C35" s="8" t="s">
        <v>78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0" t="s">
        <v>142</v>
      </c>
      <c r="B36" s="37" t="s">
        <v>143</v>
      </c>
      <c r="C36" s="8" t="s">
        <v>144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0" t="s">
        <v>145</v>
      </c>
      <c r="B37" s="37" t="s">
        <v>127</v>
      </c>
      <c r="C37" s="8" t="s">
        <v>146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0"/>
      <c r="B38" s="37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0" t="s">
        <v>147</v>
      </c>
      <c r="B39" s="37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" t="s">
        <v>148</v>
      </c>
      <c r="B40" s="37" t="s">
        <v>149</v>
      </c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0" t="s">
        <v>150</v>
      </c>
      <c r="B41" s="37" t="s">
        <v>151</v>
      </c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0" t="s">
        <v>152</v>
      </c>
      <c r="B42" s="37" t="s">
        <v>153</v>
      </c>
      <c r="C42" s="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0" t="s">
        <v>154</v>
      </c>
      <c r="B43" s="37" t="s">
        <v>155</v>
      </c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0" t="s">
        <v>156</v>
      </c>
      <c r="B44" s="37" t="s">
        <v>157</v>
      </c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9" t="s">
        <v>158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159</v>
      </c>
      <c r="B47" s="2" t="s">
        <v>160</v>
      </c>
      <c r="C47" s="2" t="s">
        <v>161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8" t="s">
        <v>162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163</v>
      </c>
      <c r="B50" s="2" t="s">
        <v>164</v>
      </c>
      <c r="C50" s="2" t="s">
        <v>165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32.0"/>
    <col customWidth="1" min="4" max="4" width="16.0"/>
    <col customWidth="1" min="5" max="5" width="55.0"/>
    <col customWidth="1" min="6" max="6" width="8.71"/>
  </cols>
  <sheetData>
    <row r="1" ht="17.25" customHeight="1">
      <c r="A1" s="1" t="s">
        <v>166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0" t="s">
        <v>167</v>
      </c>
      <c r="B3" s="40" t="s">
        <v>168</v>
      </c>
      <c r="C3" s="40" t="s">
        <v>169</v>
      </c>
      <c r="D3" s="40" t="s">
        <v>170</v>
      </c>
      <c r="E3" s="40" t="s">
        <v>171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41" t="s">
        <v>172</v>
      </c>
      <c r="B4" s="41" t="s">
        <v>5</v>
      </c>
      <c r="C4" s="41" t="s">
        <v>25</v>
      </c>
      <c r="D4" s="41" t="s">
        <v>173</v>
      </c>
      <c r="E4" s="41" t="s">
        <v>174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2" t="s">
        <v>175</v>
      </c>
      <c r="B5" s="42" t="s">
        <v>6</v>
      </c>
      <c r="C5" s="42" t="s">
        <v>176</v>
      </c>
      <c r="D5" s="42" t="s">
        <v>177</v>
      </c>
      <c r="E5" s="42" t="s">
        <v>178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42" t="s">
        <v>179</v>
      </c>
      <c r="B6" s="42" t="s">
        <v>7</v>
      </c>
      <c r="C6" s="42" t="s">
        <v>180</v>
      </c>
      <c r="D6" s="42" t="s">
        <v>177</v>
      </c>
      <c r="E6" s="42" t="s">
        <v>181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2" t="s">
        <v>182</v>
      </c>
      <c r="B7" s="42" t="s">
        <v>8</v>
      </c>
      <c r="C7" s="42" t="s">
        <v>183</v>
      </c>
      <c r="D7" s="42" t="s">
        <v>184</v>
      </c>
      <c r="E7" s="42" t="s">
        <v>185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42" t="s">
        <v>186</v>
      </c>
      <c r="B8" s="42" t="s">
        <v>9</v>
      </c>
      <c r="C8" s="42" t="s">
        <v>187</v>
      </c>
      <c r="D8" s="42" t="s">
        <v>188</v>
      </c>
      <c r="E8" s="42" t="s">
        <v>189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42" t="s">
        <v>190</v>
      </c>
      <c r="B9" s="42" t="s">
        <v>10</v>
      </c>
      <c r="C9" s="42" t="s">
        <v>191</v>
      </c>
      <c r="D9" s="42" t="s">
        <v>188</v>
      </c>
      <c r="E9" s="42" t="s">
        <v>192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42" t="s">
        <v>193</v>
      </c>
      <c r="B10" s="42" t="s">
        <v>10</v>
      </c>
      <c r="C10" s="42" t="s">
        <v>194</v>
      </c>
      <c r="D10" s="42" t="s">
        <v>184</v>
      </c>
      <c r="E10" s="42" t="s">
        <v>195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42" t="s">
        <v>196</v>
      </c>
      <c r="B11" s="42" t="s">
        <v>12</v>
      </c>
      <c r="C11" s="42" t="s">
        <v>197</v>
      </c>
      <c r="D11" s="42" t="s">
        <v>188</v>
      </c>
      <c r="E11" s="42" t="s">
        <v>198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42" t="s">
        <v>199</v>
      </c>
      <c r="B12" s="42" t="s">
        <v>15</v>
      </c>
      <c r="C12" s="42" t="s">
        <v>200</v>
      </c>
      <c r="D12" s="42" t="s">
        <v>188</v>
      </c>
      <c r="E12" s="42" t="s">
        <v>201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42" t="s">
        <v>202</v>
      </c>
      <c r="B13" s="42" t="s">
        <v>16</v>
      </c>
      <c r="C13" s="42" t="s">
        <v>203</v>
      </c>
      <c r="D13" s="42" t="s">
        <v>188</v>
      </c>
      <c r="E13" s="42" t="s">
        <v>204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43" t="s">
        <v>17</v>
      </c>
      <c r="B14" s="43" t="s">
        <v>17</v>
      </c>
      <c r="C14" s="43" t="s">
        <v>205</v>
      </c>
      <c r="D14" s="43" t="s">
        <v>206</v>
      </c>
      <c r="E14" s="43" t="s">
        <v>207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43" t="s">
        <v>18</v>
      </c>
      <c r="B15" s="43" t="s">
        <v>18</v>
      </c>
      <c r="C15" s="43" t="s">
        <v>208</v>
      </c>
      <c r="D15" s="43" t="s">
        <v>206</v>
      </c>
      <c r="E15" s="43" t="s">
        <v>209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42" t="s">
        <v>19</v>
      </c>
      <c r="B16" s="42" t="s">
        <v>19</v>
      </c>
      <c r="C16" s="42" t="s">
        <v>90</v>
      </c>
      <c r="D16" s="42" t="s">
        <v>210</v>
      </c>
      <c r="E16" s="42" t="s">
        <v>211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42" t="s">
        <v>212</v>
      </c>
      <c r="B17" s="42" t="s">
        <v>19</v>
      </c>
      <c r="C17" s="42" t="s">
        <v>213</v>
      </c>
      <c r="D17" s="42" t="s">
        <v>188</v>
      </c>
      <c r="E17" s="42" t="s">
        <v>214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42" t="s">
        <v>215</v>
      </c>
      <c r="B18" s="42" t="s">
        <v>22</v>
      </c>
      <c r="C18" s="42" t="s">
        <v>92</v>
      </c>
      <c r="D18" s="42" t="s">
        <v>184</v>
      </c>
      <c r="E18" s="42" t="s">
        <v>216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2026-04-09T03:19:13Z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